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aragon\www\FindServices\keamanan_sistem_informasi\"/>
    </mc:Choice>
  </mc:AlternateContent>
  <xr:revisionPtr revIDLastSave="0" documentId="13_ncr:1_{C229C219-7464-49C5-BF55-14B9DD2746E8}" xr6:coauthVersionLast="47" xr6:coauthVersionMax="47" xr10:uidLastSave="{00000000-0000-0000-0000-000000000000}"/>
  <bookViews>
    <workbookView xWindow="-108" yWindow="-108" windowWidth="23256" windowHeight="12456" tabRatio="500" activeTab="2" xr2:uid="{00000000-000D-0000-FFFF-FFFF00000000}"/>
  </bookViews>
  <sheets>
    <sheet name="Petunjuk" sheetId="1" r:id="rId1"/>
    <sheet name="Contoh_Pengisian" sheetId="2" r:id="rId2"/>
    <sheet name="Profil_Aplikasi" sheetId="3" r:id="rId3"/>
    <sheet name="STRIDE_DREAD_Template" sheetId="4" r:id="rId4"/>
    <sheet name="Pemeriksa_Mandiri" sheetId="5" r:id="rId5"/>
    <sheet name="Ringkasan" sheetId="6" r:id="rId6"/>
    <sheet name="STRIDE_Guidelines" sheetId="7" r:id="rId7"/>
    <sheet name="DREAD_Guidelines" sheetId="8" r:id="rId8"/>
    <sheet name="Glosarium_Istilah" sheetId="9" r:id="rId9"/>
  </sheets>
  <definedNames>
    <definedName name="_xlnm._FilterDatabase" localSheetId="8" hidden="1">Glosarium_Istilah!$A$3:$E$72</definedName>
    <definedName name="_xlnm._FilterDatabase" localSheetId="3" hidden="1">STRIDE_DREAD_Template!$A$4:$U$44</definedName>
    <definedName name="_xlnm.Print_Area" localSheetId="2">Profil_Aplikasi!$A$1:$F$53</definedName>
    <definedName name="_xlnm.Print_Titles" localSheetId="3">STRIDE_DREAD_Template!$3:$4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6" l="1"/>
  <c r="C16" i="6"/>
  <c r="C15" i="6"/>
  <c r="C14" i="6"/>
  <c r="C13" i="6"/>
  <c r="C12" i="6"/>
  <c r="D28" i="5"/>
  <c r="D27" i="5"/>
  <c r="D26" i="5"/>
  <c r="D24" i="5"/>
  <c r="E24" i="5" s="1"/>
  <c r="D21" i="5"/>
  <c r="D20" i="5"/>
  <c r="E20" i="5" s="1"/>
  <c r="D15" i="5"/>
  <c r="E15" i="5" s="1"/>
  <c r="D14" i="5"/>
  <c r="D13" i="5"/>
  <c r="D12" i="5"/>
  <c r="E27" i="5" s="1"/>
  <c r="D10" i="5"/>
  <c r="E10" i="5" s="1"/>
  <c r="D9" i="5"/>
  <c r="E9" i="5" s="1"/>
  <c r="D8" i="5"/>
  <c r="E8" i="5" s="1"/>
  <c r="D7" i="5"/>
  <c r="E7" i="5" s="1"/>
  <c r="R44" i="4"/>
  <c r="Q44" i="4"/>
  <c r="P44" i="4"/>
  <c r="J44" i="4"/>
  <c r="P43" i="4"/>
  <c r="R43" i="4" s="1"/>
  <c r="J43" i="4"/>
  <c r="R42" i="4"/>
  <c r="Q42" i="4"/>
  <c r="P42" i="4"/>
  <c r="J42" i="4"/>
  <c r="P41" i="4"/>
  <c r="R41" i="4" s="1"/>
  <c r="J41" i="4"/>
  <c r="R40" i="4"/>
  <c r="Q40" i="4"/>
  <c r="P40" i="4"/>
  <c r="J40" i="4"/>
  <c r="P39" i="4"/>
  <c r="R39" i="4" s="1"/>
  <c r="J39" i="4"/>
  <c r="R38" i="4"/>
  <c r="Q38" i="4"/>
  <c r="P38" i="4"/>
  <c r="J38" i="4"/>
  <c r="P37" i="4"/>
  <c r="R37" i="4" s="1"/>
  <c r="J37" i="4"/>
  <c r="R36" i="4"/>
  <c r="Q36" i="4"/>
  <c r="P36" i="4"/>
  <c r="J36" i="4"/>
  <c r="P35" i="4"/>
  <c r="R35" i="4" s="1"/>
  <c r="J35" i="4"/>
  <c r="R34" i="4"/>
  <c r="Q34" i="4"/>
  <c r="P34" i="4"/>
  <c r="J34" i="4"/>
  <c r="P33" i="4"/>
  <c r="R33" i="4" s="1"/>
  <c r="J33" i="4"/>
  <c r="R32" i="4"/>
  <c r="Q32" i="4"/>
  <c r="P32" i="4"/>
  <c r="J32" i="4"/>
  <c r="P31" i="4"/>
  <c r="R31" i="4" s="1"/>
  <c r="J31" i="4"/>
  <c r="R30" i="4"/>
  <c r="Q30" i="4"/>
  <c r="P30" i="4"/>
  <c r="J30" i="4"/>
  <c r="P29" i="4"/>
  <c r="R29" i="4" s="1"/>
  <c r="J29" i="4"/>
  <c r="R28" i="4"/>
  <c r="Q28" i="4"/>
  <c r="P28" i="4"/>
  <c r="J28" i="4"/>
  <c r="P27" i="4"/>
  <c r="R27" i="4" s="1"/>
  <c r="J27" i="4"/>
  <c r="R26" i="4"/>
  <c r="Q26" i="4"/>
  <c r="P26" i="4"/>
  <c r="J26" i="4"/>
  <c r="P25" i="4"/>
  <c r="R25" i="4" s="1"/>
  <c r="J25" i="4"/>
  <c r="R24" i="4"/>
  <c r="Q24" i="4"/>
  <c r="P24" i="4"/>
  <c r="J24" i="4"/>
  <c r="P23" i="4"/>
  <c r="R23" i="4" s="1"/>
  <c r="J23" i="4"/>
  <c r="R22" i="4"/>
  <c r="Q22" i="4"/>
  <c r="P22" i="4"/>
  <c r="J22" i="4"/>
  <c r="P21" i="4"/>
  <c r="R21" i="4" s="1"/>
  <c r="J21" i="4"/>
  <c r="R20" i="4"/>
  <c r="Q20" i="4"/>
  <c r="P20" i="4"/>
  <c r="J20" i="4"/>
  <c r="P19" i="4"/>
  <c r="R19" i="4" s="1"/>
  <c r="J19" i="4"/>
  <c r="R18" i="4"/>
  <c r="Q18" i="4"/>
  <c r="P18" i="4"/>
  <c r="J18" i="4"/>
  <c r="P17" i="4"/>
  <c r="R17" i="4" s="1"/>
  <c r="J17" i="4"/>
  <c r="R16" i="4"/>
  <c r="Q16" i="4"/>
  <c r="P16" i="4"/>
  <c r="J16" i="4"/>
  <c r="P15" i="4"/>
  <c r="R15" i="4" s="1"/>
  <c r="J15" i="4"/>
  <c r="R14" i="4"/>
  <c r="Q14" i="4"/>
  <c r="P14" i="4"/>
  <c r="J14" i="4"/>
  <c r="P13" i="4"/>
  <c r="R13" i="4" s="1"/>
  <c r="J13" i="4"/>
  <c r="R12" i="4"/>
  <c r="Q12" i="4"/>
  <c r="P12" i="4"/>
  <c r="J12" i="4"/>
  <c r="P11" i="4"/>
  <c r="R11" i="4" s="1"/>
  <c r="J11" i="4"/>
  <c r="R10" i="4"/>
  <c r="Q10" i="4"/>
  <c r="P10" i="4"/>
  <c r="J10" i="4"/>
  <c r="P9" i="4"/>
  <c r="R9" i="4" s="1"/>
  <c r="J9" i="4"/>
  <c r="R8" i="4"/>
  <c r="Q8" i="4"/>
  <c r="P8" i="4"/>
  <c r="J8" i="4"/>
  <c r="P7" i="4"/>
  <c r="R7" i="4" s="1"/>
  <c r="J7" i="4"/>
  <c r="R6" i="4"/>
  <c r="Q6" i="4"/>
  <c r="P6" i="4"/>
  <c r="J6" i="4"/>
  <c r="P5" i="4"/>
  <c r="C21" i="6" s="1"/>
  <c r="J5" i="4"/>
  <c r="D16" i="5" s="1"/>
  <c r="C38" i="2"/>
  <c r="C37" i="2"/>
  <c r="O31" i="2"/>
  <c r="P31" i="2" s="1"/>
  <c r="I31" i="2"/>
  <c r="P22" i="2"/>
  <c r="O22" i="2"/>
  <c r="I22" i="2"/>
  <c r="O13" i="2"/>
  <c r="P13" i="2" s="1"/>
  <c r="I13" i="2"/>
  <c r="E12" i="5" l="1"/>
  <c r="E16" i="5"/>
  <c r="E26" i="5"/>
  <c r="D18" i="5"/>
  <c r="E18" i="5" s="1"/>
  <c r="D23" i="5"/>
  <c r="E23" i="5" s="1"/>
  <c r="E14" i="5"/>
  <c r="E28" i="5"/>
  <c r="C20" i="6"/>
  <c r="E21" i="5"/>
  <c r="C36" i="2"/>
  <c r="F36" i="2" s="1"/>
  <c r="Q5" i="4"/>
  <c r="Q7" i="4"/>
  <c r="Q9" i="4"/>
  <c r="Q11" i="4"/>
  <c r="Q13" i="4"/>
  <c r="Q15" i="4"/>
  <c r="Q17" i="4"/>
  <c r="Q19" i="4"/>
  <c r="Q21" i="4"/>
  <c r="Q23" i="4"/>
  <c r="Q25" i="4"/>
  <c r="Q27" i="4"/>
  <c r="Q29" i="4"/>
  <c r="Q31" i="4"/>
  <c r="Q33" i="4"/>
  <c r="Q35" i="4"/>
  <c r="Q37" i="4"/>
  <c r="Q39" i="4"/>
  <c r="Q41" i="4"/>
  <c r="Q43" i="4"/>
  <c r="D17" i="5"/>
  <c r="E17" i="5" s="1"/>
  <c r="R5" i="4"/>
  <c r="C22" i="6" s="1"/>
  <c r="E13" i="5"/>
  <c r="C8" i="6" l="1"/>
  <c r="C7" i="6"/>
  <c r="C6" i="6"/>
  <c r="C5" i="6"/>
  <c r="F38" i="2"/>
  <c r="F37" i="2"/>
  <c r="C9" i="6" l="1"/>
  <c r="D22" i="5"/>
  <c r="E22" i="5" s="1"/>
  <c r="D30" i="5" s="1"/>
</calcChain>
</file>

<file path=xl/sharedStrings.xml><?xml version="1.0" encoding="utf-8"?>
<sst xmlns="http://schemas.openxmlformats.org/spreadsheetml/2006/main" count="944" uniqueCount="800">
  <si>
    <t>Template Praktikum STRIDE + DREAD</t>
  </si>
  <si>
    <t>Mata kuliah Cybersecurity · Pertemuan 3 Threat Modelling · Dosen: Muhamad Yusril Helmi Setyawan</t>
  </si>
  <si>
    <t>MULAI DARI SINI</t>
  </si>
  <si>
    <t>Tujuan</t>
  </si>
  <si>
    <t>Anda akan mencari ancaman keamanan pada SATU aplikasi, mengelompokkannya dengan STRIDE, menilai seberapa bahayanya dengan DREAD, lalu mengurutkan mana yang harus diperbaiki lebih dulu.</t>
  </si>
  <si>
    <t>Ide dasarnya</t>
  </si>
  <si>
    <t>Tiga pertanyaan: (1) Apa yang perlu dilindungi? (2) Siapa atau apa yang bisa merusaknya, lewat jalan mana? (3) Seberapa parah dan seberapa mudah?
STRIDE menjawab 'ini jenis ancaman apa'. DREAD menjawab 'seberapa parah ancaman ini'.</t>
  </si>
  <si>
    <t>Hasil yang dikumpulkan</t>
  </si>
  <si>
    <t>File Excel ini yang sudah terisi: sheet Profil_Aplikasi (lengkap) dan MINIMAL 6 ancaman pada sheet STRIDE_DREAD_Template (disarankan 8–10), masing-masing dengan alasan skor, bukti, dan saran perbaikan.</t>
  </si>
  <si>
    <t>Perkiraan waktu</t>
  </si>
  <si>
    <t>3–4 jam. Kerjakan BERURUTAN dari Langkah 1. Jangan menilai DREAD sebelum ancaman dan STRIDE selesai.</t>
  </si>
  <si>
    <t>Istilah asing?</t>
  </si>
  <si>
    <t>Buka sheet Glosarium_Istilah (69 istilah dengan bahasa sederhana). Contoh lengkap cara berpikir ada di sheet Contoh_Pengisian.</t>
  </si>
  <si>
    <t>ALUR KERJA — IKUTI LANGKAH DEMI LANGKAH</t>
  </si>
  <si>
    <t>Langkah 1
Baca dulu (±20 menit)</t>
  </si>
  <si>
    <t>• Baca sheet Petunjuk ini sampai habis.
• Buka sheet Contoh_Pengisian: ada 3 ancaman lengkap pada aplikasi fiktif, dengan penjelasan cara berpikirnya.
• Lihat sekilas STRIDE_Guidelines dan DREAD_Guidelines. Belum perlu hafal; Anda akan kembali ke sana saat mengisi.</t>
  </si>
  <si>
    <t>Langkah 2
Pilih aplikasi dan isi ringkasannya</t>
  </si>
  <si>
    <t>• Pilih SATU aplikasi yang kode atau cara kerjanya bisa Anda lihat: proyek web milik sendiri, tugas mata kuliah lain, atau aplikasi latihan resmi (mis. OWASP Juice Shop, DVWA). Atau pakai aplikasi yang ditentukan dosen.
• Buka sheet Profil_Aplikasi, isi bagian A (nama, tujuan, teknologi, cara kerja, ruang lingkup). 1–2 kalimat per baris sudah cukup.
• Tidak punya aplikasi? Tanyakan dosen sebelum mulai.</t>
  </si>
  <si>
    <t>Langkah 3
Daftar komponen dan aset</t>
  </si>
  <si>
    <t>• Profil_Aplikasi bagian B. Komponen = bagian aplikasi (halaman login, API, database, server, perangkat). Aset = sesuatu yang bernilai dan harus dilindungi (data pengguna, password, ketersediaan layanan).
• Isi MINIMAL 4 komponen. Tiap baris: nama komponen, tugasnya, aset yang dilindungi, satu catatan keamanan yang Anda lihat.
• Baris abu-abu 'Cth' hanyalah contoh dari aplikasi fiktif; bukan jawaban Anda.</t>
  </si>
  <si>
    <t>Langkah 4
Aliran data dan trust boundary</t>
  </si>
  <si>
    <t>• Profil_Aplikasi bagian C. Aliran data = data berpindah dari mana ke mana (mis. Browser → form login → database). Isi MINIMAL 4 aliran.
• Bagian D. Trust boundary = garis tempat data pindah dari pihak yang kurang dipercaya ke bagian dalam sistem (mis. browser pengguna → server; aplikasi → database). Ancaman paling sering muncul di titik ini. Isi MINIMAL 2.
• Bagian E (dianjurkan): gambar sketsa DFD sederhana lalu tempel di sheet. Kotak = komponen, panah = aliran data, garis putus-putus merah = trust boundary.</t>
  </si>
  <si>
    <t>Langkah 5
Cari ancaman</t>
  </si>
  <si>
    <t>• Ambil satu aliran data atau satu komponen. Ajukan 6 pertanyaan STRIDE kepadanya (daftar pertanyaan: STRIDE_Guidelines kolom F). Jawaban 'ya, mungkin terjadi' = calon ancaman.
• Catat dulu kasar di kertas. Kumpulkan 8–12 calon, lalu pilih yang paling nyata untuk aplikasi Anda (minimal 6).
• Ancaman harus KHUSUS aplikasi Anda: sebut nama halaman, fitur, tabel, atau file.</t>
  </si>
  <si>
    <t>Langkah 6
Tulis ancaman (kolom A–C)</t>
  </si>
  <si>
    <t>• Buka sheet STRIDE_DREAD_Template. Kolom ID: T-01, T-02, dst (atau nomor CVE bila memakai CVE nyata).
• Kolom Deskripsi: tulis SATU kalimat dengan rumus [Siapa] + [melakukan apa] + [pada bagian mana] + [sehingga akibatnya apa].
   Contoh: 'Penyerang di jaringan kampus menebak password lewat form login yang tidak membatasi percobaan, sehingga akun mahasiswa diambil alih.'
• Jangan hanya menulis nama serangan seperti 'SQL Injection' tanpa konteks.</t>
  </si>
  <si>
    <t>Langkah 7
Tandai STRIDE (kolom D–I)</t>
  </si>
  <si>
    <t>• Klik sel, pilih 1 bila kategori itu benar-benar terjadi, 0 bila tidak.
• Kebanyakan ancaman cukup 1–2 kategori. Empat atau lebih biasanya tanda Anda terlalu longgar.
• Hati-hati dengan E (Elevation of Privilege): hanya bila hak akses NAIK (pengguna biasa menjadi admin). Membaca data orang lain = I, mengubah data = T, menyamar jadi orang lain = S.
• Kolom Jumlah STRIDE terisi otomatis.</t>
  </si>
  <si>
    <t>Langkah 8
Beri skor DREAD (kolom K–O)</t>
  </si>
  <si>
    <t>• Beri angka bulat 0–10 untuk 5 dimensi, SATU PER SATU, dengan membaca pertanyaan penuntun di DREAD_Guidelines (0–2 rendah · 3–5 sedang · 6–8 tinggi · 9–10 sangat tinggi).
• Jangan memberi 'tinggi semua' hanya karena ancamannya terdengar seram. Bandingkan antar ancaman: mana yang benar-benar paling parah dan paling mudah?
• Total DREAD, Level Risiko, dan Prioritas muncul otomatis setelah kelima skor terisi.</t>
  </si>
  <si>
    <t>Langkah 9
Alasan, bukti, saran (kolom S–U)</t>
  </si>
  <si>
    <t>• Alasan skor (S): satu kalimat per dimensi mengapa angkanya segitu. Format: 'Damage 7: …; Reproducibility 9: …'. Tulis juga asumsi Anda.
• Bukti (T): dari mana Anda tahu. Nama file + nomor baris, URL halaman, pengaturan server, atau tangkapan layar.
• Saran mitigasi (U): 1–2 tindakan konkret untuk memperbaiki, mis. 'batasi 5 percobaan login per 10 menit; tambah CAPTCHA'.
• Skor tanpa alasan dan bukti dianggap tebakan.</t>
  </si>
  <si>
    <t>Langkah 10
Periksa sendiri</t>
  </si>
  <si>
    <t>• Buka sheet Pemeriksa_Mandiri. Perbaiki semua butir yang bertanda PERIKSA sampai menjadi OK.
• Lihat sheet Ringkasan: apakah levelnya bervariasi (tidak semua CRITICAL atau semua HIGH)?
• Baca ulang 3 ancaman teratas: masuk akal sebagai prioritas 1–3 untuk aplikasi Anda?</t>
  </si>
  <si>
    <t>Langkah 11
Simpan dan kumpulkan</t>
  </si>
  <si>
    <t>• Simpan (Ctrl+S) dengan nama NPM_Nama_STRIDE-DREAD.xlsx, kecuali dosen menentukan lain.
• Jangan menghapus atau mengganti nama sheet. Kumpulkan sesuai instruksi dosen.</t>
  </si>
  <si>
    <t>ARTI WARNA DAN KUNCI SHEET</t>
  </si>
  <si>
    <t>Warna sel</t>
  </si>
  <si>
    <t>Kuning muda = ISI SENDIRI  ·  Abu-abu = rumus otomatis (terkunci)  ·  Biru = STRIDE  ·  Oranye = DREAD  ·  Hijau = hasil otomatis  ·  Putih bergaris = penjelasan.</t>
  </si>
  <si>
    <t>Skala level risiko</t>
  </si>
  <si>
    <t>Total DREAD 0–50:  CRITICAL ≥ 40  ·  HIGH 30–39  ·  MEDIUM 20–29  ·  LOW &lt; 20.</t>
  </si>
  <si>
    <t>Sheet dikunci</t>
  </si>
  <si>
    <t>Sheet dikunci (tanpa password) agar rumus tidak terhapus secara tidak sengaja; hanya sel kuning yang dapat diisi. Lebar kolom dan tinggi baris tetap boleh Anda ubah. Jangan membuka kunci kecuali terpaksa; rumus yang rusak membuat total tidak terhitung.</t>
  </si>
  <si>
    <t>KESALAHAN YANG PALING SERING TERJADI</t>
  </si>
  <si>
    <t>1. Deskripsi terlalu umum</t>
  </si>
  <si>
    <t>Hanya menulis 'XSS' atau 'SQL Injection'. Perbaikan: sebut halaman atau fitur Anda dan akibatnya.</t>
  </si>
  <si>
    <t>2. E dicentang di mana-mana</t>
  </si>
  <si>
    <t>E hanya untuk kenaikan hak akses. Perbaikan: baca lagi kolom G di STRIDE_Guidelines.</t>
  </si>
  <si>
    <t>3. Skor DREAD tinggi semua atau sama semua</t>
  </si>
  <si>
    <t>Perbaikan: bandingkan antar ancaman; gunakan rentang level yang berbeda (ada MEDIUM atau LOW).</t>
  </si>
  <si>
    <t>4. Tidak ada alasan dan bukti</t>
  </si>
  <si>
    <t>Perbaikan: isi kolom S dan T pada setiap baris, dengan merujuk berkas, baris kode, atau halaman.</t>
  </si>
  <si>
    <t>5. Menyalin dari teman atau dari contoh</t>
  </si>
  <si>
    <t>Ancaman harus berasal dari aplikasi Anda sendiri. Isian yang mirip dengan isian lain dinilai rendah.</t>
  </si>
  <si>
    <t>6. Menimpa sel abu-abu atau rumus</t>
  </si>
  <si>
    <t>Sel abu-abu terhitung otomatis. Bila ada yang aneh, jangan diedit; periksa isian kuning di baris yang sama.</t>
  </si>
  <si>
    <t>7. Menyerang sistem sungguhan</t>
  </si>
  <si>
    <t>Praktikum ini ANALISIS (membaca kode, konfigurasi, dan alur). Uji hanya pada aplikasi milik sendiri atau lingkungan latihan. Jangan menyerang sistem milik orang lain.</t>
  </si>
  <si>
    <t>JIKA MACET</t>
  </si>
  <si>
    <t>Tidak tahu mulai dari mana</t>
  </si>
  <si>
    <t>Mulai dari fitur login, form input, unggah file, API, database, dan konfigurasi server. Tanyakan 6 pertanyaan STRIDE pada masing-masing.</t>
  </si>
  <si>
    <t>Ragu memilih STRIDE</t>
  </si>
  <si>
    <t>Tanyakan: apa yang dilanggar? Autentikasi → S · Integritas → T · Bukti → R · Kerahasiaan → I · Ketersediaan → D · Otorisasi → E.</t>
  </si>
  <si>
    <t>Ragu memberi skor</t>
  </si>
  <si>
    <t>Bandingkan dengan ancaman lain milik Anda: yang lebih parah dapat angka lebih tinggi. Tulis asumsi di kolom Alasan skor; asumsi yang jelas lebih baik daripada angka tanpa alasan.</t>
  </si>
  <si>
    <t>Masih macet</t>
  </si>
  <si>
    <t>Bawa pertanyaan bersama file yang sudah terisi sebagian ke dosen atau asisten.</t>
  </si>
  <si>
    <t>YANG AKAN DINILAI</t>
  </si>
  <si>
    <t>Kelengkapan isian (15)</t>
  </si>
  <si>
    <t>Profil_Aplikasi terisi; minimal 6 ancaman; ID, STRIDE, dan DREAD terisi lengkap.</t>
  </si>
  <si>
    <t>Kualitas deskripsi (30)</t>
  </si>
  <si>
    <t>Kalimat ancaman jelas (siapa, aksi, bagian, akibat) dan khusus untuk aplikasi Anda.</t>
  </si>
  <si>
    <t>Ketepatan STRIDE (20)</t>
  </si>
  <si>
    <t>Kategori sesuai isi ancaman; tidak berlebihan (terutama E).</t>
  </si>
  <si>
    <t>Ketepatan DREAD (25)</t>
  </si>
  <si>
    <t>Skor beralasan, bervariasi, dan konsisten dengan rubrik; ada bukti dan saran perbaikan.</t>
  </si>
  <si>
    <t>Orisinalitas (10)</t>
  </si>
  <si>
    <t>Ancaman berasal dari analisis aplikasi sendiri, bukan salinan.</t>
  </si>
  <si>
    <t>DAFTAR SHEET</t>
  </si>
  <si>
    <t>Petunjuk</t>
  </si>
  <si>
    <t>Halaman ini.</t>
  </si>
  <si>
    <t>Contoh_Pengisian</t>
  </si>
  <si>
    <t>Tiga contoh lengkap pada aplikasi fiktif beserta cara berpikirnya.</t>
  </si>
  <si>
    <t>Profil_Aplikasi</t>
  </si>
  <si>
    <t>ISI: aplikasi sasaran, komponen, aliran data, trust boundary, sketsa DFD.</t>
  </si>
  <si>
    <t>STRIDE_DREAD_Template</t>
  </si>
  <si>
    <t>ISI: tabel ancaman, STRIDE, DREAD, alasan, bukti, mitigasi.</t>
  </si>
  <si>
    <t>Pemeriksa_Mandiri</t>
  </si>
  <si>
    <t>Pemeriksaan otomatis isian Anda sebelum dikumpulkan.</t>
  </si>
  <si>
    <t>Ringkasan</t>
  </si>
  <si>
    <t>Rekap otomatis dan grafik.</t>
  </si>
  <si>
    <t>STRIDE_Guidelines / DREAD_Guidelines</t>
  </si>
  <si>
    <t>Definisi, pertanyaan pemicu, dan rubrik skor.</t>
  </si>
  <si>
    <t>Glosarium_Istilah</t>
  </si>
  <si>
    <t>Arti istilah teknis.</t>
  </si>
  <si>
    <t>File contoh dari dosen</t>
  </si>
  <si>
    <t>Bila dibagikan (isian_contoh_STRIDE-DRIDE_yusrilhelmi.xlsx, aplikasi mon_server), pelajari FORMAT dan KEDALAMANNYA, bukan isinya.</t>
  </si>
  <si>
    <t>Contoh Pengisian (aplikasi fiktif: SIPUS)</t>
  </si>
  <si>
    <t>SIPUS = sistem peminjaman buku perpustakaan kampus berbasis web (PHP + MySQL). Mahasiswa meminjam lewat browser, petugas mengelola data. Contoh ini hanya untuk meniru CARA BERPIKIR dan FORMAT. Jangan menyalin isinya untuk aplikasi Anda.</t>
  </si>
  <si>
    <t>1. TIGA CONTOH LENGKAP, DARI MENEMUKAN SAMPAI MENILAI</t>
  </si>
  <si>
    <t>Contoh 1 — Login tanpa batas percobaan   (hasil: HIGH)</t>
  </si>
  <si>
    <t>① Menemukan</t>
  </si>
  <si>
    <t>Saya melihat aliran data 'Browser → form login'. Pertanyaan STRIDE untuk aliran ini: 'Bisakah seseorang menyamar sebagai mahasiswa lain?' Jawabannya ya: password bisa ditebak berulang kali karena tidak ada batas percobaan.</t>
  </si>
  <si>
    <t>② Menulis (kolom C)</t>
  </si>
  <si>
    <t>Penyerang di internet menebak password akun mahasiswa berulang kali lewat form login SIPUS yang tidak membatasi percobaan, sehingga akun mahasiswa diambil alih dan riwayat peminjamannya terbaca.
→ Siapa: penyerang di internet  ·  Aksi: menebak password berulang  ·  Bagian: form login SIPUS  ·  Akibat: akun diambil alih, riwayat pinjam terbaca.</t>
  </si>
  <si>
    <t>③ STRIDE (kolom D–I)</t>
  </si>
  <si>
    <t>S = 1 karena pelaku menyamar sebagai mahasiswa. I = 1 karena riwayat pinjam ikut terbaca. T, R, D = 0: tidak ada data diubah, tidak ada masalah bukti, layanan tetap hidup. E = 0: pelaku hanya menjadi mahasiswa biasa, tidak naik menjadi admin.</t>
  </si>
  <si>
    <t>④ DREAD (kolom K–O)</t>
  </si>
  <si>
    <t>Damage 5: data pribadi satu akun bocor dan bisa dipakai meminjam atas nama korban, tetapi sistem tidak rusak.
Reproducibility 9: bisa diulang kapan saja dengan skrip sederhana.
Exploitability 7: perlu alat otomatis dan daftar password umum, tanpa akses khusus.
Affected Users 5: satu akun per keberhasilan, tetapi dapat diulang ke banyak akun.
Discoverability 8: form login terlihat publik dan tidak tampak ada pembatasan.</t>
  </si>
  <si>
    <t>⑤ Hasil di template</t>
  </si>
  <si>
    <t>S</t>
  </si>
  <si>
    <t>T</t>
  </si>
  <si>
    <t>R</t>
  </si>
  <si>
    <t>I</t>
  </si>
  <si>
    <t>D</t>
  </si>
  <si>
    <t>E</t>
  </si>
  <si>
    <t>Jumlah</t>
  </si>
  <si>
    <t>Damage</t>
  </si>
  <si>
    <t>Repro.</t>
  </si>
  <si>
    <t>Exploit.</t>
  </si>
  <si>
    <t>Affected</t>
  </si>
  <si>
    <t>Discover.</t>
  </si>
  <si>
    <t>Total</t>
  </si>
  <si>
    <t>Level</t>
  </si>
  <si>
    <t>C-01</t>
  </si>
  <si>
    <t>⑥ Alasan, bukti, saran (kolom S–U)</t>
  </si>
  <si>
    <t>Alasan skor: Damage 5: data satu akun bocor, sistem tidak rusak; Reproducibility 9: dapat diulang dengan skrip; Exploitability 7: butuh alat dan daftar password; Affected 5: satu akun per berhasil; Discoverability 8: form login publik.
Bukti: login.php baris 12–25: hanya membandingkan password, tanpa penghitung percobaan atau CAPTCHA. (Dibaca dari kode, tidak diserang.)
Saran mitigasi: Batasi 5 percobaan gagal per 10 menit per akun dan per IP; tambahkan CAPTCHA setelah 3 kali gagal; kunci akun sementara dan kirim pemberitahuan.</t>
  </si>
  <si>
    <t>Contoh 2 — Lalu lintas login tanpa HTTPS   (hasil: MEDIUM)</t>
  </si>
  <si>
    <t>Saya melihat aliran 'Petugas → halaman admin' memakai alamat http://. Pertanyaan STRIDE: 'Bisakah pihak lain MELIHAT data rahasia di jalan?' Jawabannya ya.</t>
  </si>
  <si>
    <t>Penyerang yang berada di WiFi kampus yang sama menyadap lalu lintas HTTP (tanpa HTTPS) ke SIPUS, sehingga password petugas perpustakaan terbaca dan akun petugas dapat dipakai.
→ Siapa: penyerang di WiFi yang sama  ·  Aksi: menyadap lalu lintas HTTP  ·  Bagian: login petugas  ·  Akibat: password terbaca, akun dipakai.</t>
  </si>
  <si>
    <t>I = 1 karena password terbaca di jaringan. S = 1 karena password itu lalu dipakai menyamar sebagai petugas. E = 0: penyerang memakai hak petugas yang memang ada; ia tidak menaikkan hak sendiri.</t>
  </si>
  <si>
    <t>Damage 7: akun petugas dapat mengubah atau menghapus data pinjaman.
Reproducibility 5: berhasil bila penyerang ada di jaringan yang sama saat petugas login.
Exploitability 4: butuh posisi di jaringan yang sama dan alat penyadap.
Affected Users 8: data seluruh mahasiswa berada di bawah kendali akun petugas.
Discoverability 4: penyerang perlu tahu bahwa situs memakai HTTP dan kapan petugas login.</t>
  </si>
  <si>
    <t>C-02</t>
  </si>
  <si>
    <t>Alasan skor: Damage 7: akun petugas dapat mengubah data; Reproducibility 5: hanya saat penyerang satu jaringan; Exploitability 4: butuh posisi jaringan + alat; Affected 8: data semua mahasiswa; Discoverability 4: harus tahu kapan login.
Bukti: Alamat sistem diawali http://, browser menampilkan 'Tidak aman'; konfigurasi Apache tidak mengaktifkan SSL (httpd-ssl.conf tidak dimuat).
Saran mitigasi: Aktifkan HTTPS (TLS) dan HSTS; alihkan semua HTTP ke HTTPS; beri flag Secure dan HttpOnly pada cookie sesi.</t>
  </si>
  <si>
    <t>Contoh 3 — Penghapusan data tanpa catatan   (hasil: LOW)</t>
  </si>
  <si>
    <t>Saya melihat aliran 'Petugas → hapus_pinjam.php'. Pertanyaan STRIDE: 'Jika petugas menghapus data, adakah catatan yang membuktikan siapa pelakunya?' Jawabannya tidak ada.</t>
  </si>
  <si>
    <t>Petugas perpustakaan yang menghapus data peminjaman dapat menyangkalnya karena SIPUS tidak mencatat siapa, kapan, dan data apa yang dihapus, sehingga sengketa denda tidak dapat dibuktikan.
→ Siapa: petugas perpustakaan  ·  Aksi: menghapus data lalu menyangkal  ·  Bagian: fitur hapus peminjaman  ·  Akibat: sengketa denda tak bisa dibuktikan.</t>
  </si>
  <si>
    <t>Hanya R = 1: masalahnya adalah TIDAK ADA BUKTI. T tidak saya tandai karena fokus ancaman ini bukan perubahan data oleh orang tidak berhak, melainkan pelaku yang tak dapat dilacak.</t>
  </si>
  <si>
    <t>Damage 4: sistem tidak rusak, tetapi bukti untuk sengketa hilang.
Reproducibility 6: terjadi setiap kali ada penghapusan.
Exploitability 3: pelaku harus memiliki akun petugas.
Affected Users 3: hanya mahasiswa yang sedang bersengketa.
Discoverability 2: baru terlihat ketika ada sengketa dan seseorang mencari lognya.</t>
  </si>
  <si>
    <t>C-03</t>
  </si>
  <si>
    <t>Alasan skor: Damage 4: bukti sengketa hilang, sistem tidak rusak; Reproducibility 6: setiap penghapusan; Exploitability 3: butuh akun petugas; Affected 3: mahasiswa yang bersengketa; Discoverability 2: baru terlihat saat sengketa.
Bukti: hapus_pinjam.php baris 8–10: hanya menjalankan DELETE; tidak ada tabel log pada skema database (daftar tabel: mahasiswa, buku, pinjaman).
Saran mitigasi: Buat tabel audit_log (user, aksi, waktu, id data); gunakan soft delete (tandai terhapus); hanya admin yang boleh melihat log.</t>
  </si>
  <si>
    <t>2. URUTAN PRIORITAS DARI KETIGA CONTOH (dihitung otomatis)</t>
  </si>
  <si>
    <t>ID ancaman</t>
  </si>
  <si>
    <t>Total DREAD</t>
  </si>
  <si>
    <t>Prioritas (1 = tertinggi)</t>
  </si>
  <si>
    <t>Prioritas 1 = total terbesar = diperbaiki lebih dulu. Dua ancaman dengan total sama mendapat peringkat yang sama. Di template, kolom Prioritas dihitung seperti ini dan Anda tidak perlu mengisinya.</t>
  </si>
  <si>
    <t>3. TULISAN KURANG BAIK vs LEBIH BAIK</t>
  </si>
  <si>
    <t>Kolom</t>
  </si>
  <si>
    <t>Kurang baik</t>
  </si>
  <si>
    <t>Lebih baik</t>
  </si>
  <si>
    <t>Mengapa</t>
  </si>
  <si>
    <t>Deskripsi</t>
  </si>
  <si>
    <t>SQL Injection.</t>
  </si>
  <si>
    <t>Penyerang memasukkan perintah SQL pada kolom pencarian buku SIPUS, sehingga isi tabel mahasiswa dapat dibaca.</t>
  </si>
  <si>
    <t>Ada aktor, aksi, bagian aplikasi, dan akibat. Orang lain paham tanpa bertanya.</t>
  </si>
  <si>
    <t>STRIDE</t>
  </si>
  <si>
    <t>S, T, R, I, D, E semua 1 karena 'ini berbahaya'.</t>
  </si>
  <si>
    <t>I = 1 saja (data dibaca). T = 1 hanya jika data juga bisa diubah.</t>
  </si>
  <si>
    <t>Pilih kategori yang benar-benar terjadi; bukan semua yang terdengar buruk.</t>
  </si>
  <si>
    <t>Alasan skor</t>
  </si>
  <si>
    <t>Tinggi karena berbahaya.</t>
  </si>
  <si>
    <t>Damage 7: seluruh data mahasiswa terbaca; Reproducibility 9: URL yang sama selalu berhasil; …</t>
  </si>
  <si>
    <t>Satu kalimat per dimensi membuat skor dapat diperiksa dan dibantah.</t>
  </si>
  <si>
    <t>Bukti</t>
  </si>
  <si>
    <t>(kosong)</t>
  </si>
  <si>
    <t>cari.php baris 31: kueri disusun dengan menyambung string dari $_GET['q'].</t>
  </si>
  <si>
    <t>Bukti membedakan temuan nyata dari tebakan.</t>
  </si>
  <si>
    <t>Mitigasi</t>
  </si>
  <si>
    <t>Perbaiki keamanannya.</t>
  </si>
  <si>
    <t>Ganti dengan prepared statement; batasi hak akun database aplikasi hanya SELECT pada tabel buku.</t>
  </si>
  <si>
    <t>Saran harus bisa dikerjakan, bukan nasihat umum.</t>
  </si>
  <si>
    <t>4. TIGA PERTANYAAN TERAKHIR SEBELUM MENGUMPULKAN</t>
  </si>
  <si>
    <t>• Jika orang lain membaca baris saya, apakah ia tahu persis apa ancamannya tanpa bertanya kepada saya?</t>
  </si>
  <si>
    <t>• Jika saya mengganti nama aplikasi, apakah ancaman saya masih terdengar spesifik? (Bila ya, berarti terlalu umum.)</t>
  </si>
  <si>
    <t>• Apakah ada ancaman yang skornya saya naikkan hanya karena terdengar seram, bukan karena kelima dimensinya memang tinggi?</t>
  </si>
  <si>
    <t>Profil Aplikasi Sasaran (isi dulu, sebelum menilai ancaman)</t>
  </si>
  <si>
    <t>Isi sel kuning. Baris abu-abu 'Cth' adalah CONTOH dari aplikasi fiktif perpustakaan (SIPUS), bukan jawaban Anda. Tulis singkat dan jelas; 1–2 kalimat per sel sudah cukup. Profil ini dipakai sebagai konteks untuk sheet STRIDE_DREAD_Template.</t>
  </si>
  <si>
    <t>A. Ringkasan sistem</t>
  </si>
  <si>
    <t>Nama sistem</t>
  </si>
  <si>
    <t>FindServices: Marketplace Layanan Jasa Lokal Terdekat (Laravel 12 + Inertia.js/Vue 3 + MySQL)</t>
  </si>
  <si>
    <t>Nama aplikasi + versi atau folder. Cth: 'SIPUS: peminjaman buku perpustakaan kampus (PHP + MySQL)'.</t>
  </si>
  <si>
    <t>Aplikasi web marketplace untuk menghubungkan pelanggan (Customer) dengan penyedia jasa lokal (Provider/Tukang) berbasis radius jarak geolokasi (Haversine), negosiasi pemesanan, pembayaran Midtrans, dan chat real-time.</t>
  </si>
  <si>
    <t>Aplikasi ini dipakai untuk apa, dan oleh siapa? 1–2 kalimat.</t>
  </si>
  <si>
    <t>Teknologi</t>
  </si>
  <si>
    <t>Backend: Laravel 12 (PHP 8.3); Frontend: Vue 3 + Inertia.js + Tailwind CSS; Database: MySQL; Realtime: Laravel Reverb (WebSocket port 8080); Gateway: Midtrans Snap API; Tunnel: Cloudflare.</t>
  </si>
  <si>
    <t>Bahasa/framework, database, server, perangkat. Cth: 'PHP 8 + MySQL di Apache; front-end HTML + JavaScript'.</t>
  </si>
  <si>
    <t>Cara kerja ringkas</t>
  </si>
  <si>
    <t>Pelanggan mencari jasa berdasarkan kategori atau lokasi terdekat lalu membuat pesanan (booking). Penyedia jasa meninjau, menyepakati harga final, dan mengonfirmasi pesanan. Pelanggan membayar via Midtrans Gateway atau Tunai, berkomunikasi via chat real-time Reverb, dan memberikan ulasan setelah selesai.</t>
  </si>
  <si>
    <t>Ceritakan perjalanan data: pengguna melakukan apa → aplikasi memproses apa → data disimpan di mana. 3–4 kalimat.</t>
  </si>
  <si>
    <t>Ruang lingkup analisis</t>
  </si>
  <si>
    <t>Analisis arsitektur, konfigurasi environment (.env), dan source code backend (controller, route, model, middleware, events) repositori FindServices melalui static code review dan threat modeling tanpa melakukan serangan aktif (non-destructive).</t>
  </si>
  <si>
    <t>Bagian mana yang Anda analisis dan dari sumber apa (membaca kode, dokumentasi, mengamati). Tulis bahwa Anda TIDAK menyerang sistem.</t>
  </si>
  <si>
    <t>B. Komponen dan aset  (isi minimal 4 baris)</t>
  </si>
  <si>
    <t>Komponen = bagian-bagian aplikasi. Aset = hal bernilai yang harus dilindungi. Catatan keamanan = kelemahan atau kekhawatiran yang Anda lihat, boleh singkat.</t>
  </si>
  <si>
    <t>ID</t>
  </si>
  <si>
    <t>Komponen</t>
  </si>
  <si>
    <t>Peran (tugasnya)</t>
  </si>
  <si>
    <t>Aset yang dilindungi</t>
  </si>
  <si>
    <t>Catatan keamanan singkat</t>
  </si>
  <si>
    <t>Cth</t>
  </si>
  <si>
    <t>Form login mahasiswa</t>
  </si>
  <si>
    <t>Memeriksa NPM dan password lalu membuat sesi</t>
  </si>
  <si>
    <t>Akun mahasiswa; kerahasiaan password</t>
  </si>
  <si>
    <t>Belum ada batas percobaan login</t>
  </si>
  <si>
    <t>K1</t>
  </si>
  <si>
    <t>Modul Autentikasi &amp; Akun (Auth &amp; ProfileController)</t>
  </si>
  <si>
    <t>Registrasi, login sesi, update profil, dan upload avatar pengguna</t>
  </si>
  <si>
    <t>Kredensial akun, password hash bcrypt, token sesi, data profil pribadi</t>
  </si>
  <si>
    <t>Atribut 'role' sempat terbuka di mass assignment model User; SESSION_ENCRYPT default false</t>
  </si>
  <si>
    <t>K2</t>
  </si>
  <si>
    <t>Modul Pemesanan &amp; Alur Status (BookingController)</t>
  </si>
  <si>
    <t>Membuat booking, validasi kuota harian, konfirmasi status, dan deal harga final</t>
  </si>
  <si>
    <t>Integritas transaksi pesanan, validitas kesepakatan harga, jadwal kerja provider</t>
  </si>
  <si>
    <t>Pengecekan hak akses auth()-&gt;id() di updateStatus sempat dinonaktifkan (potensi BOLA/IDOR)</t>
  </si>
  <si>
    <t>K3</t>
  </si>
  <si>
    <t>Modul Gateway Pembayaran (PaymentCallbackController)</t>
  </si>
  <si>
    <t>Request token Snap Midtrans dan memproses webhook callback status pembayaran</t>
  </si>
  <si>
    <t>Integritas status lunas booking, verifikasi finansial, Server Key Midtrans</t>
  </si>
  <si>
    <t>Route webhook CSRF-exempt; verifikasi SHA512 rentan bypass bila Server Key kosong di env</t>
  </si>
  <si>
    <t>K4</t>
  </si>
  <si>
    <t>Modul Marketplace &amp; Geolokasi (MarketplaceController)</t>
  </si>
  <si>
    <t>Katalog jasa dengan filter kategori, harga, rating, dan radius Haversine</t>
  </si>
  <si>
    <t>Ketersediaan layanan database server, privasi koordinat lokasi latitude/longitude</t>
  </si>
  <si>
    <t>Kalkulasi rumus Haversine intensif CPU tanpa caching database berisiko Denial of Service</t>
  </si>
  <si>
    <t>K5</t>
  </si>
  <si>
    <t>Modul Manajemen Jasa &amp; Galeri (ServiceController)</t>
  </si>
  <si>
    <t>Publikasi jasa, deskripsi layanan, tarif minimum/maksimum, dan galeri foto</t>
  </si>
  <si>
    <t>Integritas data katalog jasa publik, kapasitas penyimpanan disk server</t>
  </si>
  <si>
    <t>Batas upload 10MB hanya validasi tipe MIME dasar tanpa inspeksi mendalam file biner</t>
  </si>
  <si>
    <t>K6</t>
  </si>
  <si>
    <t>Modul Percakapan Realtime (ChatController &amp; Reverb)</t>
  </si>
  <si>
    <t>Pengiriman pesan teks instan, penandaan dibaca, dan soft delete pesan chat</t>
  </si>
  <si>
    <t>Kerahasiaan percakapan pribadi antar pengguna, ketersediaan daemon WebSocket</t>
  </si>
  <si>
    <t>Endpoint /api/test-latency tanpa autentikasi berpotensi membanjiri channel Reverb (DoS)</t>
  </si>
  <si>
    <t>K7</t>
  </si>
  <si>
    <t>Modul Ulasan &amp; Rating (Review &amp; BookingController)</t>
  </si>
  <si>
    <t>Menyimpan penilaian rating bintang, ulasan teks, dan foto bukti pengerjaan jasa</t>
  </si>
  <si>
    <t>Reputasi provider, integritas skor rating jasa, konten review publik</t>
  </si>
  <si>
    <t>Input teks review rentan Stored XSS jika dirender mentah (v-html) tanpa sanitasi HTML</t>
  </si>
  <si>
    <t>K8</t>
  </si>
  <si>
    <t>Modul Administrasi &amp; Pengaduan (Admin Controllers)</t>
  </si>
  <si>
    <t>Manajemen kategori jasa, penanganan laporan keluhan user, dan restore data</t>
  </si>
  <si>
    <t>Hak akses administrator platform, integritas master kategori, data laporan pengaduan</t>
  </si>
  <si>
    <t>AdminMiddleware mengandalkan field role pada model User; route admin harus steril dari bypass</t>
  </si>
  <si>
    <t>K9</t>
  </si>
  <si>
    <t>Modul Notifikasi Pengguna (NotificationController)</t>
  </si>
  <si>
    <t>Mengirim notifikasi pesanan, pembayaran, dan ulasan ke database dan email</t>
  </si>
  <si>
    <t>Kerahasiaan pemberitahuan transaksi, keandalan pengiriman antrean mail/notif</t>
  </si>
  <si>
    <t>Kredensial SMTP Gmail di .env harus dilindungi dari pembacaan pihak ketiga</t>
  </si>
  <si>
    <t>K10</t>
  </si>
  <si>
    <t>Penyimpanan Database &amp; Sesi (MySQL Database Engine)</t>
  </si>
  <si>
    <t>Menyimpan tabel users, services, bookings, chats, reviews, reports, dan sessions</t>
  </si>
  <si>
    <t>Integritas dan kerahasiaan seluruh rekaman basis data relasional aplikasi</t>
  </si>
  <si>
    <t>Perlu prepared statement konsisten dan enkripsi sesi agar terhindar dari SQLi dan session hijacking</t>
  </si>
  <si>
    <t>C. Aliran data (DFD level-0)  (isi minimal 4 baris)</t>
  </si>
  <si>
    <t>Aliran data = data berpindah dari mana ke mana. Pada kolom terakhir tulis 'Ya (TB-1)' bila melewati trust boundary (lihat bagian D), atau 'Tidak'.</t>
  </si>
  <si>
    <t>Dari → ke</t>
  </si>
  <si>
    <t>Data yang mengalir</t>
  </si>
  <si>
    <t>Protokol</t>
  </si>
  <si>
    <t>Melewati trust boundary?</t>
  </si>
  <si>
    <t>Browser mahasiswa → form login</t>
  </si>
  <si>
    <t>NPM dan password</t>
  </si>
  <si>
    <t>HTTP POST (belum HTTPS)</t>
  </si>
  <si>
    <t>Ya (TB-1)</t>
  </si>
  <si>
    <t>F1</t>
  </si>
  <si>
    <t>Browser Customer -&gt; Web Router (Form Login / Registrasi)</t>
  </si>
  <si>
    <t>Email, password, nama lengkap, nomor telepon, session cookie</t>
  </si>
  <si>
    <t>HTTPS (TLS via Cloudflare Tunnel)</t>
  </si>
  <si>
    <t>Ya (TB-1 ke TB-2)</t>
  </si>
  <si>
    <t>F2</t>
  </si>
  <si>
    <t>Browser Customer -&gt; MarketplaceController (Pencarian Jasa)</t>
  </si>
  <si>
    <t>Query keyword, filter kategori, koordinat latitude/longitude, radius km</t>
  </si>
  <si>
    <t>HTTPS GET</t>
  </si>
  <si>
    <t>F3</t>
  </si>
  <si>
    <t>Browser Customer -&gt; BookingController (Form Pemesanan Jasa)</t>
  </si>
  <si>
    <t>Service ID, tanggal booking, jam, lokasi alamat, catatan, metode bayar</t>
  </si>
  <si>
    <t>HTTPS POST</t>
  </si>
  <si>
    <t>F4</t>
  </si>
  <si>
    <t>Browser Provider -&gt; BookingController (Konfirmasi Status Pesanan)</t>
  </si>
  <si>
    <t>Booking ID, status baru (confirmed/in_progress), agreed_price deal</t>
  </si>
  <si>
    <t>HTTPS PATCH</t>
  </si>
  <si>
    <t>F5</t>
  </si>
  <si>
    <t>BookingController -&gt; Midtrans Snap API (Permintaan Token Bayar)</t>
  </si>
  <si>
    <t>Order ID unik, gross_amount (final_price + fee), identitas user, Server Key</t>
  </si>
  <si>
    <t>HTTPS POST (TLS 1.3)</t>
  </si>
  <si>
    <t>Ya (TB-3 ke TB-1)</t>
  </si>
  <si>
    <t>F6</t>
  </si>
  <si>
    <t>Midtrans Gateway -&gt; PaymentCallbackController (Webhook Callback)</t>
  </si>
  <si>
    <t>order_id, status_code, gross_amount, signature_key, transaction_status</t>
  </si>
  <si>
    <t>HTTP/HTTPS POST (/api/midtrans/callback)</t>
  </si>
  <si>
    <t>F7</t>
  </si>
  <si>
    <t>Browser Pengguna -&gt; ChatController (Kirim Pesan Chat)</t>
  </si>
  <si>
    <t>receiver_id (hashids), pesan teks, service_id, booking_id referensi</t>
  </si>
  <si>
    <t>F8</t>
  </si>
  <si>
    <t>Chat &amp; Booking Controller -&gt; Laravel Reverb (WebSocket Broadcast)</t>
  </si>
  <si>
    <t>Event MessageSent / BookingStatusUpdated, payload data JSON serial</t>
  </si>
  <si>
    <t>TCP WebSocket Internal (localhost:8080)</t>
  </si>
  <si>
    <t>Ya (TB-3 ke TB-4)</t>
  </si>
  <si>
    <t>F9</t>
  </si>
  <si>
    <t>Controller Aplikasi -&gt; MySQL Database (findservices)</t>
  </si>
  <si>
    <t>SQL queries (SELECT, INSERT, UPDATE tabel users, bookings, chats, reviews)</t>
  </si>
  <si>
    <t>TCP MySQL port 3306</t>
  </si>
  <si>
    <t>Ya (TB-3 ke TB-5)</t>
  </si>
  <si>
    <t>F10</t>
  </si>
  <si>
    <t>Controller Aplikasi -&gt; Storage Disk Lokal (storage/app/public)</t>
  </si>
  <si>
    <t>File biner gambar avatar, galeri jasa, bukti laporan/review (.webp)</t>
  </si>
  <si>
    <t>Local Filesystem I/O</t>
  </si>
  <si>
    <t>D. Trust boundary  (isi minimal 2 baris)</t>
  </si>
  <si>
    <t>Trust boundary = batas antara bagian yang dipercaya dan yang kurang dipercaya. Contoh: browser pengguna ↔ server; aplikasi ↔ database; aplikasi ↔ layanan pihak ketiga.</t>
  </si>
  <si>
    <t>Batas (bagian A ↔ bagian B)</t>
  </si>
  <si>
    <t>Mengapa penting</t>
  </si>
  <si>
    <t>Browser mahasiswa ↔ server web</t>
  </si>
  <si>
    <t>Siapa pun di internet dapat mengirim request; server tidak boleh langsung percaya pada input.</t>
  </si>
  <si>
    <t>TB-1</t>
  </si>
  <si>
    <t>Browser Pengguna (Internet Publik) &lt;-&gt; Perimeter Jaringan / Cloudflare Ingress</t>
  </si>
  <si>
    <t>Siapa pun di internet dapat mengirim request sembarang; seluruh data input dari luar tidak boleh dipercaya dan wajib divalidasi serta diautentikasi.</t>
  </si>
  <si>
    <t>TB-2</t>
  </si>
  <si>
    <t>Perimeter Jaringan / Web Routing &lt;-&gt; Logika Aplikasi Laravel Core</t>
  </si>
  <si>
    <t>Memisahkan lapisan routing publik/reverse proxy dengan proses bisnis internal; memvalidasi CSRF token, session cookie, dan middleware otorisasi.</t>
  </si>
  <si>
    <t>TB-3</t>
  </si>
  <si>
    <t>Logika Aplikasi Laravel &lt;-&gt; Layanan Pihak Ketiga (Midtrans Gateway)</t>
  </si>
  <si>
    <t>Pertukaran data finansial sensitif; webhook eksternal harus diverifikasi tanda tangan kriptografisnya (SHA512) agar tidak dapat dipalsukan peretas.</t>
  </si>
  <si>
    <t>TB-4</t>
  </si>
  <si>
    <t>Aplikasi Laravel (PHP Worker) &lt;-&gt; WebSocket Daemon (Laravel Reverb)</t>
  </si>
  <si>
    <t>Komunikasi real-time dua arah; Reverb berjalan sebagai daemon background port 8080 yang rentan kehabisan resource jika dibanjiri event tanpa rate limit.</t>
  </si>
  <si>
    <t>TB-5</t>
  </si>
  <si>
    <t>Proses Aplikasi Laravel &lt;-&gt; Media Penyimpanan Persisten (MySQL &amp; Local Storage)</t>
  </si>
  <si>
    <t>Menyimpan aset paling berharga (kredensial hash, sesi, transaksi, file upload). Perlu isolasi direktori dan prepared statements untuk mencegah kebocoran data.</t>
  </si>
  <si>
    <t>E. Sketsa DFD  (dianjurkan)</t>
  </si>
  <si>
    <t>Gambar sederhana: kotak = komponen atau pengguna, panah = aliran data (beri nomor F1, F2, …), garis putus-putus merah = trust boundary. Cara cepat: gambar di kertas lalu foto, atau pakai draw.io / PowerPoint. Tempel dengan Insert → Pictures → This Device.</t>
  </si>
  <si>
    <t>Tempel gambar DFD di area ini</t>
  </si>
  <si>
    <t>Isi hanya sel kuning, dari kiri ke kanan, satu baris per ancaman. STRIDE: 1 = berlaku, 0 = tidak. DREAD: skor 0–10. Kolom abu-abu dan hijau terhitung otomatis. Bingung? Buka sheet Petunjuk dan Contoh_Pengisian.</t>
  </si>
  <si>
    <t>Identitas</t>
  </si>
  <si>
    <t>STRIDE (1 = ya, 0 = tidak)</t>
  </si>
  <si>
    <t>DREAD (skor 0–10)</t>
  </si>
  <si>
    <t>Hasil otomatis</t>
  </si>
  <si>
    <t>Penjelasan (wajib diisi)</t>
  </si>
  <si>
    <t>No</t>
  </si>
  <si>
    <t>ID Ancaman / CVE</t>
  </si>
  <si>
    <t>S
Spoofing</t>
  </si>
  <si>
    <t>T
Tampering</t>
  </si>
  <si>
    <t>R
Repudiation</t>
  </si>
  <si>
    <t>I
Info Disclosure</t>
  </si>
  <si>
    <t>D
Denial of Service</t>
  </si>
  <si>
    <t>E
Elevation of Privilege</t>
  </si>
  <si>
    <t>Jumlah
STRIDE</t>
  </si>
  <si>
    <t>Damage
(0–10)</t>
  </si>
  <si>
    <t>Reproducibility
(0–10)</t>
  </si>
  <si>
    <t>Exploitability
(0–10)</t>
  </si>
  <si>
    <t>Affected Users
(0–10)</t>
  </si>
  <si>
    <t>Discoverability
(0–10)</t>
  </si>
  <si>
    <t>Total DREAD
(0–50)</t>
  </si>
  <si>
    <t>Level Risiko</t>
  </si>
  <si>
    <t>Prioritas
(1 = tertinggi)</t>
  </si>
  <si>
    <t>Alasan skor
(1 kalimat per dimensi DREAD)</t>
  </si>
  <si>
    <t>Bukti / sumber
(file + baris, URL, konfigurasi)</t>
  </si>
  <si>
    <t>Saran mitigasi
(1–2 tindakan konkret)</t>
  </si>
  <si>
    <t>T-01 (CVE-2023-28438)</t>
  </si>
  <si>
    <t>Penyerang yang terautentikasi memanipulasi parameter order_id pada endpoint status booking di BookingController tanpa verifikasi kepemilikan akun, sehingga dapat mengubah status pesanan milik pengguna lain secara sepihak.</t>
  </si>
  <si>
    <t>Damage 8: penyerang dapat membatalkan atau mengubah sepihak status transaksi pengguna lain; Reproducibility 9: serangan sangat mudah diulang dengan mengganti parameter booking ID; Exploitability 8: dapat dieksekusi dengan request HTTP PATCH sederhana; Affected Users 8: berdampak pada seluruh pengguna aktif sistem; Discoverability 7: celah otorisasi mudah ditemukan melalui inspeksi endpoint API.</t>
  </si>
  <si>
    <t>BookingController.php baris 228–232: pengecekan hak akses kepemilikan auth()-&gt;id() dikomentari sehingga siapa pun dapat mengubah status booking.</t>
  </si>
  <si>
    <t>Aktifkan kembali validasi hak akses kepemilikan if (auth()-&gt;id() !== $booking-&gt;provider_id &amp;&amp; auth()-&gt;id() !== $booking-&gt;customer_id) abort(403); dan gunakan Laravel Authorization Policy.</t>
  </si>
  <si>
    <t>T-02 (CVE-2023-34449)</t>
  </si>
  <si>
    <t>Penyerang tanpa autentikasi mengirimkan ribuan request ke endpoint uji latensi WebSocket Reverb secara masif, sehingga membanjiri channel Reverb dan mengakibatkan server socket mengalami kehabisan memori serta lumpuh.</t>
  </si>
  <si>
    <t>Damage 7: melumpuhkan fitur chat dan notifikasi real-time bagi seluruh pengguna; Reproducibility 9: sangat mudah diulang menggunakan script load testing; Exploitability 9: endpoint terbuka untuk publik tanpa autentikasi; Affected Users 8: memengaruhi seluruh pengguna yang mengandalkan real-time event; Discoverability 7: endpoint /api/test-latency tercantum jelas pada routes/api.php.</t>
  </si>
  <si>
    <t>routes/api.php baris 15–52: route POST /test-latency memicu TestLatency::dispatch tanpa middleware auth maupun rate limiting.</t>
  </si>
  <si>
    <t>Hapus route /test-latency pada lingkungan production atau lindungi dengan middleware auth:sanctum dan throttle rate limit 5 request per menit.</t>
  </si>
  <si>
    <t>T-03 (CVE-2023-45133)</t>
  </si>
  <si>
    <t>Penyerang memalsukan notifikasi callback webhook Midtrans dengan mengeksploitasi kemungkinan kunci rahasia kosong pada berkas konfigurasi, sehingga status pembayaran booking berubah menjadi lunas tanpa transfer uang sesungguhnya.</t>
  </si>
  <si>
    <t>Damage 9: menimbulkan kerugian finansial langsung karena pesanan dianggap lunas tanpa pembayaran riil; Reproducibility 8: mudah diulang dengan replay packet HTTP POST; Exploitability 7: membutuhkan pengetahuan format payload Midtrans; Affected Users 8: berdampak pada penyedia jasa dan platform; Discoverability 7: route webhook dikecualikan dari proteksi CSRF di bootstrap/app.php.</t>
  </si>
  <si>
    <t>PaymentCallbackController.php baris 14–38 dan bootstrap/app.php baris 21–23: route api/midtrans/callback dikecualikan dari CSRF dan .env membiarkan MIDTRANS_SERVER_KEY kosong secara default.</t>
  </si>
  <si>
    <t>Validasi ketat konfigurasi MIDTRANS_SERVER_KEY tidak boleh kosong, verifikasi ulang status transaksi langsung ke API Get Status Midtrans, dan catat log audit transaksi.</t>
  </si>
  <si>
    <t>T-04 (CVE-2023-38035)</t>
  </si>
  <si>
    <t>Pengguna jahat memicu pencarian katalog dengan koordinat radius geolokasi secara berulang dan mengunggah banyak berkas berukuran 10MB, sehingga membebani CPU database dan menghabiskan ruang penyimpanan server.</t>
  </si>
  <si>
    <t>Damage 7: menurunkan responsivitas server dan berisiko server crash karena kehabisan ruang disk; Reproducibility 8: dapat diulang otomatis dengan skrip bot HTTP; Exploitability 8: dapat dilakukan oleh siapa saja yang memiliki akun; Affected Users 8: seluruh pengguna mengalami kelambatan akses; Discoverability 7: batas upload 10MB dan endpoint pencarian publik terlihat langsung di UI.</t>
  </si>
  <si>
    <t>MarketplaceController.php baris 57–68: query rumus Haversine tanpa indexing spasial dan ProfileUpdateRequest.php / ServiceController.php: batas upload mencapai 10240 KB (10MB) per file.</t>
  </si>
  <si>
    <t>Terapkan caching hasil pencarian geolokasi (Redis/Database), turunkan batas maksimal upload menjadi 2MB, dan pasang rate limiting pada endpoint marketplace.</t>
  </si>
  <si>
    <t>T-05 (CVE-2024-21501)</t>
  </si>
  <si>
    <t>Pengguna menyisipkan skrip berbahaya berupa payload JavaScript pada kolom ulasan review atau catatan pemesanan jasa, sehingga skrip dieksekusi di browser penyedia jasa atau administrator saat membuka halaman.</t>
  </si>
  <si>
    <t>Damage 7: pencurian sesi token admin/provider atau pengalihan halaman; Reproducibility 8: tersimpan permanen di database dan dieksekusi setiap halaman dibuka; Exploitability 7: membutuhkan keahlian injeksi script dasar; Affected Users 8: berdampak pada semua user yang melihat ulasan/booking tersebut; Discoverability 7: kolom input teks review terbuka luas.</t>
  </si>
  <si>
    <t>BookingController.php baris 470–502: kolom comment review hanya divalidasi string|max:500 tanpa pembersihan tag HTML (strip_tags atau htmlspecialchars).</t>
  </si>
  <si>
    <t>Terapkan sanitasi input menggunakan strip_tags() pada backend dan pastikan komponen Vue tidak menggunakan direktif v-html pada rendering konten ulasan.</t>
  </si>
  <si>
    <t>T-06 (CVE-2023-22809)</t>
  </si>
  <si>
    <t>Pengguna mendaftar atau memperbarui profil lalu menambahkan parameter role=admin melalui manipulasi HTTP request payload, sehingga hak akses akun meningkat menjadi administrator karena atribut role masuk ke fillable model.</t>
  </si>
  <si>
    <t>Damage 9: penyerang memperoleh hak akses penuh mengelola kategori, laporan, dan data seluruh sistem; Reproducibility 8: dapat diulang pada endpoint modifikasi profil; Exploitability 7: membutuhkan pengiriman raw JSON request; Affected Users 7: integritas seluruh sistem terdampak; Discoverability 6: celah mass assignment dapat diprediksi dari struktur Eloquent standar.</t>
  </si>
  <si>
    <t>app/Models/User.php baris 26: kolom 'role' terdaftar di properti protected $fillable User model.</t>
  </si>
  <si>
    <t>Keluarkan atribut 'role' dari array $fillable pada model User, dan atur penetapan role hanya melalui seeder atau controller admin khusus.</t>
  </si>
  <si>
    <t>T-07 (CVE-2024-21516)</t>
  </si>
  <si>
    <t>Pengguna mengunggah berkas gambar manipulasi (seperti polyglot file atau SVG berbisa) pada fitur foto jasa dan avatar profil, sehingga berkas berbahaya tersimpan di direktori publik server dan dapat memicu SSRF atau XSS.</t>
  </si>
  <si>
    <t>Damage 8: potensi eksekusi script atau pembacaan file internal server; Reproducibility 7: berhasil selama berkas lolos filter ekstensi mime; Exploitability 6: membutuhkan crafting payload file khusus; Affected Users 7: pengunjung dan server berisiko terdampak; Discoverability 6: fitur upload media tersedia di berbagai modul.</t>
  </si>
  <si>
    <t>ServiceController.php baris 63–64 dan UserReportController.php baris 36: validasi hanya memeriksa ekstensi mimes tanpa verifikasi magic bytes konten gambar.</t>
  </si>
  <si>
    <t>Gunakan pustaka image processing (seperti Intervention Image) untuk merender ulang dan mengonversi semua gambar ke WebP/JPEG murni, serta nonaktifkan eksekusi skrip di folder storage.</t>
  </si>
  <si>
    <t>T-08 (CVE-2022-31129)</t>
  </si>
  <si>
    <t>Pihak ketiga pada jaringan lokal atau perantara sniffing mencuri session ID pengguna karena konfigurasi sesi di database tidak dienkripsi, sehingga penyerang dapat membajak sesi login pengguna tanpa memerlukan password.</t>
  </si>
  <si>
    <t>Damage 8: akun korban diambil alih sepenuhnya selama sesi masih valid; Reproducibility 7: dapat diulang jika penyerang memperoleh token sesi; Exploitability 6: membutuhkan akses sniffing atau kebocoran database; Affected Users 7: memengaruhi pengguna yang sedang login aktif; Discoverability 6: konfigurasi .env SESSION_ENCRYPT=false dapat diketahui dari audit sistem.</t>
  </si>
  <si>
    <t>.env baris 34–36: SESSION_DRIVER=database dan SESSION_ENCRYPT=false menyimpan payload sesi secara plaintext di tabel sessions.</t>
  </si>
  <si>
    <t>Ubah konfigurasi .env menjadi SESSION_ENCRYPT=true dan pastikan flag cookie HttpOnly serta Secure aktif di config/session.php.</t>
  </si>
  <si>
    <t>T-09 (CVE-2022-31279)</t>
  </si>
  <si>
    <t>Pengguna yang terautentikasi memanipulasi parameter hash_id pada URL percakapan atau request penghapusan pesan, sehingga dapat membaca pesan rahasia atau menghapus riwayat chat milik pihak lain tanpa izin.</t>
  </si>
  <si>
    <t>Damage 6: kerahasiaan negosiasi dan privasi chat bocor atau hilang; Reproducibility 8: mudah diulang dengan men-decode pola Hashids; Exploitability 7: membutuhkan tebakan atau manipulasi hash parameter; Affected Users 6: terbatas pada pasangan chat yang disasar; Discoverability 6: parameter hash_id tampak jelas pada URL query string.</t>
  </si>
  <si>
    <t>ChatController.php baris 59–97 dan baris 240–253: pemuatan pesan konteks dan validasi kepemilikan mengandalkan decode hash tanpa policy terpusat.</t>
  </si>
  <si>
    <t>Gunakan Laravel Policy untuk memeriksa relasi pesan sebelum memuat atau menghapus chat, dan jangan jadikan Hashids sebagai satu-satunya lapisan keamanan otorisasi.</t>
  </si>
  <si>
    <t>T-10 (CVE-2023-40028)</t>
  </si>
  <si>
    <t>[TERMITIGASI] Pengunjung website memicu error sistem untuk melihat tampilan stack trace lengkap dan kredensial sensitif, namun saat ini risiko telah diminimalisasi karena parameter APP_DEBUG telah dinonaktifkan di berkas .env.</t>
  </si>
  <si>
    <t>Damage 2: sistem hanya menampilkan halaman error 500 generik tanpa membocorkan data; Reproducibility 1: tidak lagi dapat direproduksi di lingkungan publik; Exploitability 1: tidak ada data sensitif yang diekspos di browser; Affected Users 1: tidak ada pengguna yang terdampak; Discoverability 1: pemindaian otomatis tidak lagi menemukan celah debug.</t>
  </si>
  <si>
    <t>.env baris 4: parameter APP_DEBUG telah diatur bernilai false (APP_DEBUG=false) sehingga stack trace dan environment variables terlindungi.</t>
  </si>
  <si>
    <t>Pertahankan APP_DEBUG=false pada lingkungan production, aktifkan log rotasi, dan gunakan sentry atau monitoring tertutup untuk pelacakan exception.</t>
  </si>
  <si>
    <t>Pemeriksa Mandiri (otomatis; tidak perlu diisi)</t>
  </si>
  <si>
    <t>Sheet ini memeriksa isian Anda. Perbaiki semua butir yang bertanda PERIKSA di sheet asalnya sampai menjadi OK, lalu simpan. Tanda '-' berarti belum bisa diperiksa karena belum ada ancaman yang diisi. OK bukan jaminan nilai sempurna; ini hanya pemeriksaan bentuk.</t>
  </si>
  <si>
    <t>Pemeriksaan</t>
  </si>
  <si>
    <t>Hasil</t>
  </si>
  <si>
    <t>Status</t>
  </si>
  <si>
    <t>Cara memperbaiki</t>
  </si>
  <si>
    <t>A. Profil aplikasi</t>
  </si>
  <si>
    <t>Bagian A terisi (dari 5 baris)</t>
  </si>
  <si>
    <t>Isi kelima baris bagian A di sheet Profil_Aplikasi.</t>
  </si>
  <si>
    <t>Komponen terisi (minimal 4)</t>
  </si>
  <si>
    <t>Tambah komponen pada bagian B (sheet Profil_Aplikasi).</t>
  </si>
  <si>
    <t>Aliran data terisi (minimal 4)</t>
  </si>
  <si>
    <t>Tambah aliran data pada bagian C.</t>
  </si>
  <si>
    <t>Trust boundary terisi (minimal 2)</t>
  </si>
  <si>
    <t>Isi bagian D: setidaknya batas browser ↔ server dan aplikasi ↔ database.</t>
  </si>
  <si>
    <t>B. Jumlah dan kelengkapan ancaman</t>
  </si>
  <si>
    <t>Jumlah ancaman terisi (minimal 6)</t>
  </si>
  <si>
    <t>Tambah ancaman baru pada baris kosong di STRIDE_DREAD_Template.</t>
  </si>
  <si>
    <t>Ancaman tanpa ID</t>
  </si>
  <si>
    <t>Isi kolom B (ID) untuk setiap ancaman, mis. T-01.</t>
  </si>
  <si>
    <t>ID kembar</t>
  </si>
  <si>
    <t>Setiap ID harus berbeda. Ubah ID yang sama.</t>
  </si>
  <si>
    <t>Deskripsi terlalu pendek (&lt; 40 karakter)</t>
  </si>
  <si>
    <t>Tulis kalimat lengkap: siapa + melakukan apa + pada bagian mana + akibatnya.</t>
  </si>
  <si>
    <t>Ancaman belum punya kategori STRIDE</t>
  </si>
  <si>
    <t>Setiap ancaman perlu minimal satu kolom STRIDE bernilai 1.</t>
  </si>
  <si>
    <t>Skor DREAD belum lengkap (5 dimensi)</t>
  </si>
  <si>
    <t>Isi kelima skor DREAD (kolom K–O) pada baris itu.</t>
  </si>
  <si>
    <t>Baris berskor tetapi tanpa deskripsi</t>
  </si>
  <si>
    <t>Isi kolom Deskripsi atau kosongkan skornya.</t>
  </si>
  <si>
    <t>C. Kualitas klasifikasi dan skor</t>
  </si>
  <si>
    <t>Ancaman dengan 4 atau lebih kategori STRIDE</t>
  </si>
  <si>
    <t>Terlalu longgar. Tandai hanya kategori yang benar-benar terjadi (biasanya 1–2).</t>
  </si>
  <si>
    <t>Porsi ancaman bertanda E (Elevation of Privilege)</t>
  </si>
  <si>
    <t>E hanya untuk KENAIKAN HAK AKSES. Baca STRIDE_Guidelines kolom G, lalu ubah E menjadi 0 bila tidak sesuai.</t>
  </si>
  <si>
    <t>Jumlah level risiko berbeda yang muncul</t>
  </si>
  <si>
    <t>Skor Anda hampir seragam. Bandingkan antar ancaman dan bedakan skornya sesuai rubrik.</t>
  </si>
  <si>
    <t>Rentang total DREAD (tertinggi − terendah)</t>
  </si>
  <si>
    <t>Rentang sempit: biasanya ada ancaman yang dinilai terlalu tinggi atau terlalu rendah. Tinjau ulang skornya.</t>
  </si>
  <si>
    <t>Baris dengan kelima skor DREAD identik (mis. 8-8-8-8-8)</t>
  </si>
  <si>
    <t>Skor dimasukkan tanpa dipikirkan per dimensi. Nilai lagi satu per satu.</t>
  </si>
  <si>
    <t>D. Penjelasan</t>
  </si>
  <si>
    <t>Ancaman tanpa alasan skor (kolom S)</t>
  </si>
  <si>
    <t>Tulis satu kalimat per dimensi DREAD.</t>
  </si>
  <si>
    <t>Ancaman tanpa bukti (kolom T)</t>
  </si>
  <si>
    <t>Tulis dari mana Anda tahu: file + baris, URL halaman, konfigurasi, tangkapan layar.</t>
  </si>
  <si>
    <t>Ancaman tanpa saran mitigasi (kolom U)</t>
  </si>
  <si>
    <t>Tulis 1–2 tindakan konkret perbaikan.</t>
  </si>
  <si>
    <t>STATUS KESELURUHAN</t>
  </si>
  <si>
    <t>Ringkasan Hasil (otomatis; tidak perlu diisi)</t>
  </si>
  <si>
    <t>Jumlah ancaman</t>
  </si>
  <si>
    <t>CRITICAL</t>
  </si>
  <si>
    <t>HIGH</t>
  </si>
  <si>
    <t>MEDIUM</t>
  </si>
  <si>
    <t>LOW</t>
  </si>
  <si>
    <t>Total ternilai</t>
  </si>
  <si>
    <t>Kategori STRIDE</t>
  </si>
  <si>
    <t>Spoofing</t>
  </si>
  <si>
    <t>Tampering</t>
  </si>
  <si>
    <t>Repudiation</t>
  </si>
  <si>
    <t>Information Disclosure</t>
  </si>
  <si>
    <t>Denial of Service</t>
  </si>
  <si>
    <t>Elevation of Privilege</t>
  </si>
  <si>
    <t>Indikator</t>
  </si>
  <si>
    <t>Nilai</t>
  </si>
  <si>
    <t>Rata-rata total DREAD</t>
  </si>
  <si>
    <t>Skor DREAD tertinggi</t>
  </si>
  <si>
    <t>Ancaman prioritas 1</t>
  </si>
  <si>
    <t>Panduan Kategori STRIDE</t>
  </si>
  <si>
    <t>Kategori</t>
  </si>
  <si>
    <t>Definisi</t>
  </si>
  <si>
    <t>Contoh serangan</t>
  </si>
  <si>
    <t>Aspek keamanan yang dilanggar</t>
  </si>
  <si>
    <t>Contoh kontrol</t>
  </si>
  <si>
    <t>Pertanyaan pemicu: tanyakan ini pada tiap komponen / aliran data aplikasi Anda</t>
  </si>
  <si>
    <t>Pilih kategori ini bila … / jangan pilih bila …</t>
  </si>
  <si>
    <t>S – Spoofing</t>
  </si>
  <si>
    <t>Pemalsuan identitas untuk akses ilegal.</t>
  </si>
  <si>
    <t>Password dicuri, session hijacking</t>
  </si>
  <si>
    <t>Autentikasi</t>
  </si>
  <si>
    <t>MFA, rate limit, reCAPTCHA</t>
  </si>
  <si>
    <t>Bisakah seseorang atau perangkat berpura-pura menjadi pengguna sah (login tanpa verifikasi, password lemah, sesi bisa dicuri)?</t>
  </si>
  <si>
    <t>Pilih bila pelaku MENYAMAR sebagai pihak lain. Jika pelaku hanya MELIHAT data, itu I, bukan S.</t>
  </si>
  <si>
    <t>T – Tampering</t>
  </si>
  <si>
    <t>Perubahan atau manipulasi data.</t>
  </si>
  <si>
    <t>SQL Injection, modifikasi file</t>
  </si>
  <si>
    <t>Integritas</t>
  </si>
  <si>
    <t>Prepared statements, WAF, hash/MAC</t>
  </si>
  <si>
    <t>Bisakah data, file, atau pengaturan diubah atau dihapus oleh pihak yang tidak berhak (lewat form, parameter URL, file yang bisa ditulis)?</t>
  </si>
  <si>
    <t>Pilih bila data atau kode DIUBAH atau DIHAPUS. Contoh: SQL Injection yang mengubah isi tabel.</t>
  </si>
  <si>
    <t>R – Repudiation</t>
  </si>
  <si>
    <t>Penolakan aksi tanpa bukti.</t>
  </si>
  <si>
    <t>Log dihapus, aktivitas tidak tercatat</t>
  </si>
  <si>
    <t>Non-repudiation</t>
  </si>
  <si>
    <t>Log terverifikasi, tanda tangan digital</t>
  </si>
  <si>
    <t>Jika seseorang melakukan aksi penting (hapus data, ubah nilai, transfer), adakah catatan yang membuktikan siapa pelakunya?</t>
  </si>
  <si>
    <t>Pilih bila masalahnya TIDAK ADA BUKTI atau LOG sehingga pelaku bisa menyangkal.</t>
  </si>
  <si>
    <t>I – Information Disclosure</t>
  </si>
  <si>
    <t>Kebocoran data sensitif.</t>
  </si>
  <si>
    <t>Data leak, bucket publik, API tidak aman</t>
  </si>
  <si>
    <t>Kerahasiaan</t>
  </si>
  <si>
    <t>Enkripsi, TLS + HSTS, masking</t>
  </si>
  <si>
    <t>Bisakah pihak tidak berhak MELIHAT data rahasia (password, data pribadi, kode sumber, pesan error rinci, lalu lintas tanpa enkripsi)?</t>
  </si>
  <si>
    <t>Pilih bila yang bocor adalah INFORMASI (kerahasiaan dilanggar).</t>
  </si>
  <si>
    <t>D – Denial of Service</t>
  </si>
  <si>
    <t>Pelumpuhan layanan.</t>
  </si>
  <si>
    <t>DDoS, resource exhaustion</t>
  </si>
  <si>
    <t>Ketersediaan</t>
  </si>
  <si>
    <t>WAF/CDN, rate limiting, autoscaling</t>
  </si>
  <si>
    <t>Bisakah layanan dibuat lambat atau mati (banjir request, input sangat besar, data penting terhapus, sumber daya habis)?</t>
  </si>
  <si>
    <t>Pilih bila pengguna sah JADI TIDAK BISA memakai layanan.</t>
  </si>
  <si>
    <t>E – Elevation of Privilege</t>
  </si>
  <si>
    <t>Kenaikan hak akses.</t>
  </si>
  <si>
    <t>Privilege escalation, RCE</t>
  </si>
  <si>
    <t>Otorisasi</t>
  </si>
  <si>
    <t>RBAC, least privilege, patching</t>
  </si>
  <si>
    <t>Bisakah pengguna biasa atau anonim memperoleh hak lebih tinggi (menjadi admin, menjalankan perintah di server, membuka fungsi admin)?</t>
  </si>
  <si>
    <t>Pilih HANYA bila hak akses NAIK. Membaca data orang lain = I; mengubah data = T. Jangan pilih E hanya karena ancamannya parah.</t>
  </si>
  <si>
    <t>Cara memakai:</t>
  </si>
  <si>
    <t>1. Ambil satu komponen atau aliran data dari sheet Profil_Aplikasi.</t>
  </si>
  <si>
    <t>2. Bacakan enam pertanyaan di kolom F satu per satu. Jawaban 'ya, mungkin terjadi' = calon ancaman.</t>
  </si>
  <si>
    <t>3. Satu ancaman boleh punya lebih dari satu kategori, tetapi tandai hanya yang benar-benar terjadi. Kebanyakan ancaman cukup 1–2 kategori.</t>
  </si>
  <si>
    <t>4. Bila ragu memilih, tanyakan: apa yang dilanggar? Autentikasi → S · Integritas → T · Bukti → R · Kerahasiaan → I · Ketersediaan → D · Otorisasi → E.</t>
  </si>
  <si>
    <t>Rubrik Skor DREAD (0–10 per dimensi)</t>
  </si>
  <si>
    <t>Faktor</t>
  </si>
  <si>
    <t>Pertanyaan penuntun</t>
  </si>
  <si>
    <t>0–2</t>
  </si>
  <si>
    <t>3–5</t>
  </si>
  <si>
    <t>6–8</t>
  </si>
  <si>
    <t>9–10</t>
  </si>
  <si>
    <t>Seberapa parah kerusakan jika berhasil?</t>
  </si>
  <si>
    <t>Dampak kecil</t>
  </si>
  <si>
    <t>Merusak sebagian fungsi</t>
  </si>
  <si>
    <t>Dampak tinggi</t>
  </si>
  <si>
    <t>Kritis</t>
  </si>
  <si>
    <t>Reproducibility</t>
  </si>
  <si>
    <t>Seberapa mudah serangan diulang?</t>
  </si>
  <si>
    <t>Sulit diulang</t>
  </si>
  <si>
    <t>Perlu beberapa langkah</t>
  </si>
  <si>
    <t>Mudah dengan tools</t>
  </si>
  <si>
    <t>Sangat mudah</t>
  </si>
  <si>
    <t>Exploitability</t>
  </si>
  <si>
    <t>Seberapa mudah dieksploitasi?</t>
  </si>
  <si>
    <t>Butuh skill tinggi</t>
  </si>
  <si>
    <t>Butuh autentikasi</t>
  </si>
  <si>
    <t>Eksploit dari internet</t>
  </si>
  <si>
    <t>Affected Users</t>
  </si>
  <si>
    <t>Berapa banyak pengguna terdampak?</t>
  </si>
  <si>
    <t>1–2 user</t>
  </si>
  <si>
    <t>5–10 user</t>
  </si>
  <si>
    <t>1 divisi</t>
  </si>
  <si>
    <t>Semua user</t>
  </si>
  <si>
    <t>Discoverability</t>
  </si>
  <si>
    <t>Seberapa mudah celah ditemukan?</t>
  </si>
  <si>
    <t>Sulit ditemukan</t>
  </si>
  <si>
    <t>Butuh pengetahuan</t>
  </si>
  <si>
    <t>Terdeteksi by scan</t>
  </si>
  <si>
    <t>Sangat mudah ditemukan</t>
  </si>
  <si>
    <t>Skala Level Risiko (dipakai rumus pada template)</t>
  </si>
  <si>
    <t>Total DREAD minimum</t>
  </si>
  <si>
    <t>Batas level ditetapkan dosen; mahasiswa tidak perlu mengubahnya. Total DREAD = jumlah lima dimensi (maks 50).</t>
  </si>
  <si>
    <t>Panduan praktis untuk pemula</t>
  </si>
  <si>
    <t>Tanyakan pada diri sendiri</t>
  </si>
  <si>
    <t>Contoh nilai tinggi (9–10)</t>
  </si>
  <si>
    <t>Contoh nilai rendah (0–2)</t>
  </si>
  <si>
    <t>Jika serangan berhasil, apa yang hilang atau rusak? Bisakah dipulihkan?</t>
  </si>
  <si>
    <t>Seluruh data hilang permanen tanpa cadangan.</t>
  </si>
  <si>
    <t>Hanya tampilan berubah sementara.</t>
  </si>
  <si>
    <t>Apakah serangan berhasil setiap kali dicoba, atau perlu keberuntungan dan kondisi khusus?</t>
  </si>
  <si>
    <t>Satu URL atau satu request, selalu berhasil.</t>
  </si>
  <si>
    <t>Hanya berhasil pada kondisi yang sangat langka.</t>
  </si>
  <si>
    <t>Apa yang dibutuhkan penyerang: keahlian, alat, akses awal (harus login? satu jaringan?)</t>
  </si>
  <si>
    <t>Siapa pun dengan browser, tanpa login.</t>
  </si>
  <si>
    <t>Perlu akses admin dan keahlian tinggi.</t>
  </si>
  <si>
    <t>Berapa banyak pengguna atau data yang terdampak?</t>
  </si>
  <si>
    <t>Semua pengguna sistem.</t>
  </si>
  <si>
    <t>Satu pengguna saja.</t>
  </si>
  <si>
    <t>Seberapa mudah penyerang menemukan celahnya?</t>
  </si>
  <si>
    <t>Terlihat langsung di halaman, URL, atau kode yang publik.</t>
  </si>
  <si>
    <t>Harus membaca kode internal atau menebak.</t>
  </si>
  <si>
    <t>Tips: (1) beri skor satu dimensi pada satu waktu; (2) tulis asumsi Anda di kolom Catatan; (3) bandingkan antar ancaman: ancaman yang menurut Anda paling parah harus mendapat total tertinggi; (4) skor bukan rasa takut: ancaman yang terdengar seram tetapi sulit dilakukan skornya tidak semuanya tinggi.</t>
  </si>
  <si>
    <t>Glosarium Istilah Teknis</t>
  </si>
  <si>
    <t>Istilah yang dipakai pada berkas ini, dikelompokkan menurut kategori. Kolom terakhir hanya memberi contoh dari aplikasi contoh dosen (mon_server), bukan dari aplikasi Anda.</t>
  </si>
  <si>
    <t>Istilah</t>
  </si>
  <si>
    <t>Penjelasan</t>
  </si>
  <si>
    <t>Contoh pada aplikasi contoh dosen (mon_server)</t>
  </si>
  <si>
    <t>Threat modelling (pemodelan ancaman)</t>
  </si>
  <si>
    <t>Konsep</t>
  </si>
  <si>
    <t>Proses sistematis menemukan, menilai, dan memprioritaskan ancaman terhadap sebuah sistem sebelum ancaman itu dieksploitasi.</t>
  </si>
  <si>
    <t>Seluruh file ini: 15 ancaman terhadap aplikasi mon_server.</t>
  </si>
  <si>
    <t>Aset</t>
  </si>
  <si>
    <t>Sesuatu yang bernilai dan perlu dilindungi: data, layanan, atau kredensial.</t>
  </si>
  <si>
    <t>Data sensor di tb_monitoring, ketersediaan dashboard, password WiFi.</t>
  </si>
  <si>
    <t>Aktor ancaman (threat actor)</t>
  </si>
  <si>
    <t>Pihak yang dapat menyerang sistem, baik orang dalam maupun luar.</t>
  </si>
  <si>
    <t>Penyerang di jaringan WiFi yang sama; pengunjung anonim.</t>
  </si>
  <si>
    <t>Vektor serangan</t>
  </si>
  <si>
    <t>Jalur atau cara yang dipakai penyerang untuk mencapai sasaran.</t>
  </si>
  <si>
    <t>URL input.php?cahaya=…, halaman delete_data.php.</t>
  </si>
  <si>
    <t>Kerentanan (vulnerability)</t>
  </si>
  <si>
    <t>Kelemahan pada desain, kode, atau konfigurasi yang dapat dimanfaatkan penyerang.</t>
  </si>
  <si>
    <t>Tidak ada autentikasi pada input.php.</t>
  </si>
  <si>
    <t>Ancaman vs risiko</t>
  </si>
  <si>
    <t>Ancaman adalah kejadian merugikan yang mungkin terjadi. Risiko adalah gabungan kemungkinan terjadinya dan besar dampaknya.</t>
  </si>
  <si>
    <t>DREAD dipakai untuk mengubah daftar ancaman menjadi tingkat risiko.</t>
  </si>
  <si>
    <t>Mitigasi / kontrol</t>
  </si>
  <si>
    <t>Tindakan untuk mengurangi kemungkinan atau dampak suatu ancaman.</t>
  </si>
  <si>
    <t>Bagian 'Mitigasi' pada kolom Catatan tiap baris.</t>
  </si>
  <si>
    <t>Sisa risiko (residual risk)</t>
  </si>
  <si>
    <t>Risiko yang masih tersisa setelah mitigasi diterapkan.</t>
  </si>
  <si>
    <t>T-14: real_escape_string sudah ada, tetapi masih tersisa risiko bila kode berubah.</t>
  </si>
  <si>
    <t>Analisis statis</t>
  </si>
  <si>
    <t>Menilai keamanan dengan membaca kode tanpa menjalankan atau menyerang sistem.</t>
  </si>
  <si>
    <t>Dasar seluruh temuan pada file ini.</t>
  </si>
  <si>
    <t>CIA triad</t>
  </si>
  <si>
    <t>Tiga tujuan keamanan informasi: Confidentiality (kerahasiaan), Integrity (integritas), Availability (ketersediaan).</t>
  </si>
  <si>
    <t>I = kerahasiaan, T = integritas, D = ketersediaan.</t>
  </si>
  <si>
    <t>Metode</t>
  </si>
  <si>
    <t>Enam kategori ancaman (dikembangkan Microsoft): Spoofing, Tampering, Repudiation, Information Disclosure, Denial of Service, Elevation of Privilege. Dipakai untuk mengklasifikasikan ancaman.</t>
  </si>
  <si>
    <t>Kolom D–I; satu ancaman boleh punya lebih dari satu kategori.</t>
  </si>
  <si>
    <t>Spoofing (S)</t>
  </si>
  <si>
    <t>Menyamar sebagai pihak lain (pengguna atau perangkat). Melanggar autentikasi.</t>
  </si>
  <si>
    <t>T-01: penyerang menyamar sebagai NodeMCU.</t>
  </si>
  <si>
    <t>Tampering (T)</t>
  </si>
  <si>
    <t>Mengubah data atau kode secara tidak sah. Melanggar integritas.</t>
  </si>
  <si>
    <t>T-02: data dihapus; T-03: pengaturan perekaman diubah.</t>
  </si>
  <si>
    <t>Repudiation (R)</t>
  </si>
  <si>
    <t>Menyangkal telah melakukan suatu aksi karena tidak ada bukti. Melanggar non-repudiation.</t>
  </si>
  <si>
    <t>T-09: tidak ada log siapa menghapus data.</t>
  </si>
  <si>
    <t>Information Disclosure (I)</t>
  </si>
  <si>
    <t>Kebocoran informasi kepada pihak yang tidak berhak. Melanggar kerahasiaan.</t>
  </si>
  <si>
    <t>T-04: password WiFi tampil di portal.</t>
  </si>
  <si>
    <t>Denial of Service (D)</t>
  </si>
  <si>
    <t>Membuat layanan tidak tersedia bagi pengguna sah. Melanggar ketersediaan.</t>
  </si>
  <si>
    <t>T-08: banjir request ke input.php.</t>
  </si>
  <si>
    <t>Elevation of Privilege (E)</t>
  </si>
  <si>
    <t>Memperoleh hak akses lebih tinggi daripada yang seharusnya. Melanggar otorisasi.</t>
  </si>
  <si>
    <t>T-02: aksi admin dilakukan tanpa login.</t>
  </si>
  <si>
    <t>DREAD</t>
  </si>
  <si>
    <t>Cara menilai tingkat risiko ancaman dengan lima dimensi, masing-masing diberi skor 0–10. Bersifat subjektif, jadi alasan skor harus ditulis.</t>
  </si>
  <si>
    <t>Kolom K–O dan alasan skor di kolom Catatan.</t>
  </si>
  <si>
    <t>Seberapa besar kerusakan jika ancaman berhasil.</t>
  </si>
  <si>
    <t>T-02 diberi 9 karena data hilang permanen.</t>
  </si>
  <si>
    <t>Seberapa mudah serangan diulang secara andal.</t>
  </si>
  <si>
    <t>T-03 diberi 10: cukup satu request POST.</t>
  </si>
  <si>
    <t>Seberapa mudah dan murah penyerang mengeksploitasi (keahlian, alat, akses awal).</t>
  </si>
  <si>
    <t>T-05 diberi 5 karena butuh celah awal lebih dulu.</t>
  </si>
  <si>
    <t>Berapa banyak pengguna atau aset yang terdampak.</t>
  </si>
  <si>
    <t>T-04 diberi 7: semua perangkat di WiFi tersebut.</t>
  </si>
  <si>
    <t>Seberapa mudah celah ditemukan penyerang.</t>
  </si>
  <si>
    <t>T-04 diberi 9: kode firmware dipajang di portal.</t>
  </si>
  <si>
    <t>Jumlah kelima skor (rentang 0–50), dihitung otomatis oleh rumus di kolom P.</t>
  </si>
  <si>
    <t>T-02 = 9+10+8+9+8 = 44.</t>
  </si>
  <si>
    <t>Level risiko</t>
  </si>
  <si>
    <t>Kategori dari total DREAD: ≥40 CRITICAL, 30–39 HIGH, 20–29 MEDIUM, &lt;20 LOW (batas dapat diubah di sheet DREAD_Guidelines).</t>
  </si>
  <si>
    <t>T-13 = 17 → LOW.</t>
  </si>
  <si>
    <t>Prioritas</t>
  </si>
  <si>
    <t>Urutan penanganan berdasarkan total DREAD (1 = tertinggi). Dihitung dengan fungsi RANK; skor sama mendapat peringkat sama.</t>
  </si>
  <si>
    <t>T-02 prioritas 1; T-03 dan T-08 sama-sama 38 sehingga sama-sama peringkat 4.</t>
  </si>
  <si>
    <t>Threat statement</t>
  </si>
  <si>
    <t>Kalimat ancaman terstruktur: aktor – aksi – objek – dampak.</t>
  </si>
  <si>
    <t>Kolom Deskripsi pada tiap baris.</t>
  </si>
  <si>
    <t>DFD (Data Flow Diagram)</t>
  </si>
  <si>
    <t>Diagram</t>
  </si>
  <si>
    <t>Diagram yang menggambarkan aktor, proses, penyimpanan data, dan aliran data. Level-0 adalah gambaran paling luas.</t>
  </si>
  <si>
    <t>Sheet Profil_Aplikasi, bagian C.</t>
  </si>
  <si>
    <t>Trust boundary</t>
  </si>
  <si>
    <t>Garis pada DFD tempat data berpindah antara zona yang tingkat kepercayaannya berbeda; ancaman paling sering muncul di sini.</t>
  </si>
  <si>
    <t>TB-1 sampai TB-4 pada sheet Profil_Aplikasi.</t>
  </si>
  <si>
    <t>CVE</t>
  </si>
  <si>
    <t>Standar</t>
  </si>
  <si>
    <t>Nomor identitas publik untuk kerentanan yang sudah diketahui pada produk tertentu (mis. CVE-2021-44228).</t>
  </si>
  <si>
    <t>Tidak dipakai di sini: ancaman bersifat khusus aplikasi sendiri, jadi ID memakai T-01 dst.</t>
  </si>
  <si>
    <t>CVSS</t>
  </si>
  <si>
    <t>Sistem skor standar (0–10) untuk tingkat keparahan kerentanan, dihitung dengan kalkulator FIRST.</t>
  </si>
  <si>
    <t>Pembanding resmi untuk skor DREAD pada Latihan 3.3 butir 4.</t>
  </si>
  <si>
    <t>CWE</t>
  </si>
  <si>
    <t>Daftar jenis kelemahan perangkat lunak (mis. CWE-79 untuk XSS).</t>
  </si>
  <si>
    <t>T-06 dan T-07 termasuk jenis kelemahan XSS.</t>
  </si>
  <si>
    <t>OWASP Top 10</t>
  </si>
  <si>
    <t>Daftar kategori risiko keamanan aplikasi web yang paling umum, diterbitkan OWASP.</t>
  </si>
  <si>
    <t>Dasar pemetaan: injeksi, kontrol akses rusak, salah konfigurasi keamanan.</t>
  </si>
  <si>
    <t>Keamanan</t>
  </si>
  <si>
    <t>Membuktikan identitas: siapa Anda.</t>
  </si>
  <si>
    <t>Tidak ada pada input.php maupun delete_data.php.</t>
  </si>
  <si>
    <t>Menentukan apa yang boleh dilakukan oleh identitas yang sudah terbukti.</t>
  </si>
  <si>
    <t>delete_data.php tidak memeriksa peran admin.</t>
  </si>
  <si>
    <t>Least privilege</t>
  </si>
  <si>
    <t>Prinsip memberi hak akses sekecil mungkin sesuai kebutuhan.</t>
  </si>
  <si>
    <t>T-05: aplikasi sebaiknya memakai user MySQL khusus, bukan root.</t>
  </si>
  <si>
    <t>Audit log / audit trail</t>
  </si>
  <si>
    <t>Catatan yang merekam siapa melakukan apa dan kapan, dipakai untuk investigasi.</t>
  </si>
  <si>
    <t>T-09.</t>
  </si>
  <si>
    <t>Sifat yang membuat pelaku tidak dapat menyangkal aksinya; dicapai lewat log terpercaya atau tanda tangan digital.</t>
  </si>
  <si>
    <t>Lawan dari kategori R pada STRIDE.</t>
  </si>
  <si>
    <t>Rate limiting</t>
  </si>
  <si>
    <t>Membatasi jumlah request per satuan waktu dari satu sumber.</t>
  </si>
  <si>
    <t>Mitigasi T-08.</t>
  </si>
  <si>
    <t>Flooding / banjir request</t>
  </si>
  <si>
    <t>Serangan</t>
  </si>
  <si>
    <t>Mengirim request dalam jumlah sangat besar untuk menghabiskan sumber daya server.</t>
  </si>
  <si>
    <t>T-08.</t>
  </si>
  <si>
    <t>API key / token</t>
  </si>
  <si>
    <t>Rahasia yang menyertai request untuk membuktikan pengirim sah.</t>
  </si>
  <si>
    <t>Mitigasi T-01: satu key per NodeMCU.</t>
  </si>
  <si>
    <t>HMAC</t>
  </si>
  <si>
    <t>Kode otentikasi pesan berbasis kunci rahasia; memastikan pesan asli dan tidak diubah di perjalanan.</t>
  </si>
  <si>
    <t>Mitigasi T-01 bersama timestamp.</t>
  </si>
  <si>
    <t>Sniffing / MITM</t>
  </si>
  <si>
    <t>Sniffing: menyadap lalu lintas jaringan. MITM (man-in-the-middle): menyisip di tengah komunikasi untuk membaca atau mengubah data.</t>
  </si>
  <si>
    <t>T-10.</t>
  </si>
  <si>
    <t>HTTPS / TLS</t>
  </si>
  <si>
    <t>HTTP yang dienkripsi dengan TLS sehingga tidak dapat disadap atau diubah di jaringan.</t>
  </si>
  <si>
    <t>Mitigasi T-10.</t>
  </si>
  <si>
    <t>XSS (Cross-Site Scripting)</t>
  </si>
  <si>
    <t>Penyerang menyisipkan skrip yang kemudian dijalankan oleh browser korban pada halaman yang dipercaya.</t>
  </si>
  <si>
    <t>T-06 dan T-07.</t>
  </si>
  <si>
    <t>Reflected XSS</t>
  </si>
  <si>
    <t>Skrip berasal dari request (mis. parameter URL) dan langsung dipantulkan ke respons; korban perlu mengklik tautan.</t>
  </si>
  <si>
    <t>T-06.</t>
  </si>
  <si>
    <t>Stored XSS</t>
  </si>
  <si>
    <t>Skrip tersimpan di database lalu dijalankan pada setiap pengunjung yang membuka halaman.</t>
  </si>
  <si>
    <t>T-07.</t>
  </si>
  <si>
    <t>Escape output / htmlspecialchars</t>
  </si>
  <si>
    <t>Pertahanan</t>
  </si>
  <si>
    <t>Mengubah karakter khusus HTML (&lt; &gt; &amp; ") menjadi entitas aman sehingga tampil sebagai teks, bukan dijalankan sebagai kode.</t>
  </si>
  <si>
    <t>Sebagian output sudah memakainya, sebagian belum.</t>
  </si>
  <si>
    <t>SQL Injection</t>
  </si>
  <si>
    <t>Menyisipkan perintah SQL lewat input sehingga kueri berubah dari maksud semula.</t>
  </si>
  <si>
    <t>T-14: tidak terbukti, karena input di-escape dan dikutip.</t>
  </si>
  <si>
    <t>real_escape_string</t>
  </si>
  <si>
    <t>Fungsi mysqli yang meng-escape karakter khusus SQL. Melindungi SQL, bukan HTML.</t>
  </si>
  <si>
    <t>input.php baris 204–206.</t>
  </si>
  <si>
    <t>Prepared statement</t>
  </si>
  <si>
    <t>Kueri berparameter (bind_param) yang memisahkan perintah SQL dari data sehingga injeksi tidak mungkin.</t>
  </si>
  <si>
    <t>versi2_0/api_control.php.</t>
  </si>
  <si>
    <t>Validasi input / whitelist</t>
  </si>
  <si>
    <t>Hanya menerima nilai yang diizinkan, menolak selebihnya.</t>
  </si>
  <si>
    <t>ldr hanya boleh 'Terang' atau 'Gelap'.</t>
  </si>
  <si>
    <t>CSRF</t>
  </si>
  <si>
    <t>Memaksa browser korban yang sudah login mengirim request yang tidak diinginkan; dilawan dengan token CSRF.</t>
  </si>
  <si>
    <t>Mitigasi T-02 dan T-03.</t>
  </si>
  <si>
    <t>CSP (Content-Security-Policy)</t>
  </si>
  <si>
    <t>Header HTTP yang membatasi sumber skrip yang boleh dijalankan browser.</t>
  </si>
  <si>
    <t>Mitigasi T-06 dan T-07.</t>
  </si>
  <si>
    <t>SRI (Subresource Integrity)</t>
  </si>
  <si>
    <t>Atribut integrity pada tag script atau link berisi hash; browser menolak berkas CDN yang isinya berubah.</t>
  </si>
  <si>
    <t>T-12.</t>
  </si>
  <si>
    <t>CDN</t>
  </si>
  <si>
    <t>Infrastruktur</t>
  </si>
  <si>
    <t>Jaringan server pihak ketiga yang menyajikan library (Chart.js, Tailwind) dari luar server sendiri.</t>
  </si>
  <si>
    <t>Supply chain (rantai pasok)</t>
  </si>
  <si>
    <t>Ketergantungan pada komponen pihak ketiga yang, jika dikompromikan, ikut membahayakan aplikasi.</t>
  </si>
  <si>
    <t>Hardcoded credential</t>
  </si>
  <si>
    <t>Kelemahan</t>
  </si>
  <si>
    <t>Kredensial (password, kunci) ditulis langsung di kode sumber.</t>
  </si>
  <si>
    <t>T-04 (password WiFi) dan T-05 (root MySQL).</t>
  </si>
  <si>
    <t>Web root (htdocs)</t>
  </si>
  <si>
    <t>Folder yang dilayani web server; setiap berkas di dalamnya dapat diakses lewat URL kecuali diblokir.</t>
  </si>
  <si>
    <t>T-11: skrip pengembangan berada di web root.</t>
  </si>
  <si>
    <t>TRUNCATE TABLE</t>
  </si>
  <si>
    <t>SQL</t>
  </si>
  <si>
    <t>Perintah SQL yang mengosongkan seluruh baris tabel sekaligus dan umumnya tidak dapat dibatalkan.</t>
  </si>
  <si>
    <t>delete_data.php baris 15.</t>
  </si>
  <si>
    <t>Pesan galat (information leakage)</t>
  </si>
  <si>
    <t>Pesan error yang ditampilkan apa adanya membocorkan detail internal sistem.</t>
  </si>
  <si>
    <t>T-13.</t>
  </si>
  <si>
    <t>Endpoint</t>
  </si>
  <si>
    <t>Web</t>
  </si>
  <si>
    <t>Alamat URL tertentu yang menerima dan memproses request.</t>
  </si>
  <si>
    <t>input.php, toggle_recording.php, export_dataset.php.</t>
  </si>
  <si>
    <t>HTTP GET / POST</t>
  </si>
  <si>
    <t>GET menaruh parameter di URL (terlihat dan tercatat di log); POST mengirim data di badan request.</t>
  </si>
  <si>
    <t>NodeMCU memakai GET; toggle_recording memakai POST.</t>
  </si>
  <si>
    <t>Query string / parameter</t>
  </si>
  <si>
    <t>Bagian URL setelah tanda tanya berisi pasangan nama=nilai.</t>
  </si>
  <si>
    <t>?cahaya=400&amp;gas=Aman&amp;suhu=29.5</t>
  </si>
  <si>
    <t>Heartbeat</t>
  </si>
  <si>
    <t>Sinyal berkala yang menandakan perangkat masih hidup.</t>
  </si>
  <si>
    <t>tb_settings.last_heartbeat; online bila selisih &lt; 30 detik.</t>
  </si>
  <si>
    <t>Firmware</t>
  </si>
  <si>
    <t>Perangkat</t>
  </si>
  <si>
    <t>Program yang tertanam di perangkat keras.</t>
  </si>
  <si>
    <t>monitoring_fix.ino.</t>
  </si>
  <si>
    <t>NodeMCU ESP8266</t>
  </si>
  <si>
    <t>Papan mikrokontroler dengan WiFi bawaan yang membaca sensor dan mengirim data.</t>
  </si>
  <si>
    <t>Perangkat pengirim data pada sistem ini.</t>
  </si>
  <si>
    <t>XAMPP</t>
  </si>
  <si>
    <t>Paket Apache + MySQL + PHP untuk pengembangan lokal. Konfigurasi bawaannya tidak aman untuk produksi (root tanpa password).</t>
  </si>
  <si>
    <t>T-05.</t>
  </si>
  <si>
    <t>root (MySQL)</t>
  </si>
  <si>
    <t>Akun administrator tertinggi pada MySQL.</t>
  </si>
  <si>
    <t>Dipakai oleh seluruh skrip 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</si>
</sst>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Calibri"/>
      <family val="2"/>
      <charset val="1"/>
    </font>
    <font>
      <i/>
      <sz val="11"/>
      <color rgb="FF595959"/>
      <name val="Arial"/>
      <charset val="1"/>
    </font>
    <font>
      <sz val="11"/>
      <name val="Arial"/>
      <charset val="1"/>
    </font>
    <font>
      <b/>
      <sz val="18"/>
      <color rgb="FFFFFFFF"/>
      <name val="Arial"/>
      <charset val="1"/>
    </font>
    <font>
      <i/>
      <sz val="10"/>
      <color rgb="FF595959"/>
      <name val="Arial"/>
      <charset val="1"/>
    </font>
    <font>
      <b/>
      <sz val="11"/>
      <color rgb="FFFFFFFF"/>
      <name val="Arial"/>
      <charset val="1"/>
    </font>
    <font>
      <b/>
      <sz val="10"/>
      <color rgb="FFFFFFFF"/>
      <name val="Arial"/>
      <charset val="1"/>
    </font>
    <font>
      <sz val="10"/>
      <color rgb="FF000000"/>
      <name val="Arial"/>
      <charset val="1"/>
    </font>
    <font>
      <sz val="10"/>
      <color rgb="FF0000FF"/>
      <name val="Arial"/>
      <charset val="1"/>
    </font>
    <font>
      <b/>
      <sz val="18"/>
      <color rgb="FF1F3A5F"/>
      <name val="Arial"/>
      <charset val="1"/>
    </font>
    <font>
      <b/>
      <sz val="11"/>
      <color rgb="FF000000"/>
      <name val="Arial"/>
      <charset val="1"/>
    </font>
    <font>
      <b/>
      <sz val="11"/>
      <name val="Arial"/>
      <charset val="1"/>
    </font>
    <font>
      <b/>
      <sz val="16"/>
      <color rgb="FF1F3A5F"/>
      <name val="Arial"/>
      <charset val="1"/>
    </font>
    <font>
      <b/>
      <sz val="13"/>
      <color rgb="FF1F3A5F"/>
      <name val="Arial"/>
      <charset val="1"/>
    </font>
    <font>
      <sz val="11"/>
      <color rgb="FF0000FF"/>
      <name val="Arial"/>
      <charset val="1"/>
    </font>
    <font>
      <b/>
      <sz val="11"/>
      <color rgb="FF1F3A5F"/>
      <name val="Arial"/>
    </font>
    <font>
      <sz val="10"/>
      <color rgb="FF000000"/>
      <name val="Arial"/>
    </font>
    <font>
      <b/>
      <sz val="13"/>
      <color rgb="FF1F3A5F"/>
      <name val="Arial"/>
    </font>
    <font>
      <sz val="10"/>
      <color rgb="FF595959"/>
      <name val="Arial"/>
    </font>
    <font>
      <b/>
      <sz val="20"/>
      <color rgb="FF1F3A5F"/>
      <name val="Arial"/>
    </font>
    <font>
      <b/>
      <sz val="12"/>
      <color rgb="FFFFFFFF"/>
      <name val="Arial"/>
    </font>
    <font>
      <b/>
      <sz val="10"/>
      <color rgb="FF1F3A5F"/>
      <name val="Arial"/>
    </font>
    <font>
      <b/>
      <sz val="18"/>
      <color rgb="FF1F3A5F"/>
      <name val="Arial"/>
    </font>
    <font>
      <i/>
      <sz val="10"/>
      <color rgb="FF595959"/>
      <name val="Arial"/>
    </font>
    <font>
      <b/>
      <sz val="10"/>
      <color rgb="FF000000"/>
      <name val="Arial"/>
    </font>
    <font>
      <i/>
      <sz val="9"/>
      <color rgb="FF7F7F7F"/>
      <name val="Arial"/>
    </font>
    <font>
      <b/>
      <sz val="10"/>
      <color rgb="FFFFFFFF"/>
      <name val="Arial"/>
    </font>
    <font>
      <i/>
      <sz val="10"/>
      <color rgb="FF7F7F7F"/>
      <name val="Arial"/>
    </font>
    <font>
      <i/>
      <sz val="11"/>
      <color rgb="FFA6A6A6"/>
      <name val="Arial"/>
    </font>
    <font>
      <b/>
      <sz val="9"/>
      <color rgb="FFFFFFFF"/>
      <name val="Arial"/>
    </font>
    <font>
      <b/>
      <sz val="11"/>
      <color rgb="FF000000"/>
      <name val="Arial"/>
    </font>
    <font>
      <sz val="10"/>
      <color rgb="FF9C0006"/>
      <name val="Arial"/>
    </font>
    <font>
      <sz val="10"/>
      <color rgb="FF375623"/>
      <name val="Arial"/>
    </font>
    <font>
      <b/>
      <sz val="11"/>
      <color rgb="FFFFFFFF"/>
      <name val="Arial"/>
    </font>
    <font>
      <sz val="9"/>
      <color rgb="FF404040"/>
      <name val="Arial"/>
    </font>
    <font>
      <b/>
      <sz val="12"/>
      <color rgb="FF1F3A5F"/>
      <name val="Arial"/>
    </font>
    <font>
      <b/>
      <sz val="12"/>
      <color rgb="FF000000"/>
      <name val="Arial"/>
    </font>
  </fonts>
  <fills count="28">
    <fill>
      <patternFill patternType="none"/>
    </fill>
    <fill>
      <patternFill patternType="gray125"/>
    </fill>
    <fill>
      <patternFill patternType="solid">
        <fgColor rgb="FF1F3A5F"/>
        <bgColor rgb="FF333333"/>
      </patternFill>
    </fill>
    <fill>
      <patternFill patternType="solid">
        <fgColor rgb="FF2E75B6"/>
        <bgColor rgb="FF4F81BD"/>
      </patternFill>
    </fill>
    <fill>
      <patternFill patternType="solid">
        <fgColor rgb="FFC55A11"/>
        <bgColor rgb="FFED7D31"/>
      </patternFill>
    </fill>
    <fill>
      <patternFill patternType="solid">
        <fgColor rgb="FF548235"/>
        <bgColor rgb="FF595959"/>
      </patternFill>
    </fill>
    <fill>
      <patternFill patternType="solid">
        <fgColor rgb="FFEDEDED"/>
        <bgColor rgb="FFFBF1E9"/>
      </patternFill>
    </fill>
    <fill>
      <patternFill patternType="solid">
        <fgColor rgb="FFFFF8D6"/>
        <bgColor rgb="FFFBF1E9"/>
      </patternFill>
    </fill>
    <fill>
      <patternFill patternType="solid">
        <fgColor rgb="FFC00000"/>
        <bgColor rgb="FF800000"/>
      </patternFill>
    </fill>
    <fill>
      <patternFill patternType="solid">
        <fgColor rgb="FFED7D31"/>
        <bgColor rgb="FFFF8080"/>
      </patternFill>
    </fill>
    <fill>
      <patternFill patternType="solid">
        <fgColor rgb="FFFFD966"/>
        <bgColor rgb="FFFFCC00"/>
      </patternFill>
    </fill>
    <fill>
      <patternFill patternType="solid">
        <fgColor rgb="FFA9D18E"/>
        <bgColor rgb="FFBFBFBF"/>
      </patternFill>
    </fill>
    <fill>
      <patternFill patternType="solid">
        <fgColor rgb="FFF2F7FC"/>
        <bgColor rgb="FFFBF1E9"/>
      </patternFill>
    </fill>
    <fill>
      <patternFill patternType="solid">
        <fgColor rgb="FFFBF1E9"/>
        <bgColor rgb="FFEDEDED"/>
      </patternFill>
    </fill>
    <fill>
      <patternFill patternType="solid">
        <fgColor rgb="FF1F3A5F"/>
      </patternFill>
    </fill>
    <fill>
      <patternFill patternType="solid">
        <fgColor rgb="FFF2F7FC"/>
      </patternFill>
    </fill>
    <fill>
      <patternFill patternType="solid">
        <fgColor rgb="FFDDEBF7"/>
      </patternFill>
    </fill>
    <fill>
      <patternFill patternType="solid">
        <fgColor rgb="FF548235"/>
      </patternFill>
    </fill>
    <fill>
      <patternFill patternType="solid">
        <fgColor rgb="FFC55A11"/>
      </patternFill>
    </fill>
    <fill>
      <patternFill patternType="solid">
        <fgColor rgb="FFFBE5D6"/>
      </patternFill>
    </fill>
    <fill>
      <patternFill patternType="solid">
        <fgColor rgb="FF2E75B6"/>
      </patternFill>
    </fill>
    <fill>
      <patternFill patternType="solid">
        <fgColor rgb="FF7030A0"/>
      </patternFill>
    </fill>
    <fill>
      <patternFill patternType="solid">
        <fgColor rgb="FF7F7F7F"/>
      </patternFill>
    </fill>
    <fill>
      <patternFill patternType="solid">
        <fgColor rgb="FFF2F2F2"/>
      </patternFill>
    </fill>
    <fill>
      <patternFill patternType="solid">
        <fgColor rgb="FFEDEDED"/>
      </patternFill>
    </fill>
    <fill>
      <patternFill patternType="solid">
        <fgColor rgb="FFFFF8D6"/>
      </patternFill>
    </fill>
    <fill>
      <patternFill patternType="solid">
        <fgColor rgb="FF9DC3E6"/>
      </patternFill>
    </fill>
    <fill>
      <patternFill patternType="solid">
        <fgColor rgb="FFC00000"/>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03">
    <xf numFmtId="0" fontId="0" fillId="0" borderId="0" xfId="0"/>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0" borderId="0" xfId="0" applyFont="1"/>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9" fillId="0" borderId="0" xfId="0" applyFont="1"/>
    <xf numFmtId="0" fontId="5"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9"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2" fillId="0" borderId="1" xfId="0" applyFont="1" applyBorder="1" applyAlignment="1">
      <alignment horizontal="left" vertical="center" wrapText="1"/>
    </xf>
    <xf numFmtId="164" fontId="11"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wrapText="1"/>
    </xf>
    <xf numFmtId="49" fontId="11" fillId="0" borderId="1" xfId="0" applyNumberFormat="1" applyFont="1" applyBorder="1" applyAlignment="1">
      <alignment horizontal="left" vertical="center" wrapText="1"/>
    </xf>
    <xf numFmtId="0" fontId="12" fillId="0" borderId="0" xfId="0" applyFont="1"/>
    <xf numFmtId="0" fontId="11" fillId="0" borderId="1" xfId="0" applyFont="1" applyBorder="1" applyAlignment="1">
      <alignment horizontal="left" vertical="center" wrapText="1"/>
    </xf>
    <xf numFmtId="0" fontId="11" fillId="12"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13" fillId="0" borderId="0" xfId="0" applyFont="1"/>
    <xf numFmtId="0" fontId="14" fillId="7" borderId="1" xfId="0" applyFont="1" applyFill="1" applyBorder="1" applyAlignment="1">
      <alignment horizontal="center" vertical="center" wrapText="1"/>
    </xf>
    <xf numFmtId="0" fontId="1" fillId="0" borderId="0" xfId="0" applyFont="1"/>
    <xf numFmtId="0" fontId="21" fillId="15" borderId="4" xfId="0" applyFont="1" applyFill="1" applyBorder="1" applyAlignment="1">
      <alignment horizontal="left" vertical="top" wrapText="1"/>
    </xf>
    <xf numFmtId="0" fontId="16" fillId="0" borderId="4" xfId="0" applyFont="1" applyBorder="1" applyAlignment="1">
      <alignment horizontal="left" vertical="top" wrapText="1"/>
    </xf>
    <xf numFmtId="0" fontId="21" fillId="16" borderId="4" xfId="0" applyFont="1" applyFill="1" applyBorder="1" applyAlignment="1">
      <alignment horizontal="left" vertical="top" wrapText="1"/>
    </xf>
    <xf numFmtId="0" fontId="21" fillId="19" borderId="4" xfId="0" applyFont="1" applyFill="1" applyBorder="1" applyAlignment="1">
      <alignment horizontal="left" vertical="top" wrapText="1"/>
    </xf>
    <xf numFmtId="0" fontId="21" fillId="23" borderId="4" xfId="0" applyFont="1" applyFill="1" applyBorder="1" applyAlignment="1">
      <alignment horizontal="left" vertical="top" wrapText="1"/>
    </xf>
    <xf numFmtId="0" fontId="29" fillId="20" borderId="4" xfId="0" applyFont="1" applyFill="1" applyBorder="1" applyAlignment="1">
      <alignment horizontal="center" vertical="center" wrapText="1"/>
    </xf>
    <xf numFmtId="0" fontId="29" fillId="18" borderId="4" xfId="0" applyFont="1" applyFill="1" applyBorder="1" applyAlignment="1">
      <alignment horizontal="center" vertical="center" wrapText="1"/>
    </xf>
    <xf numFmtId="0" fontId="29" fillId="17" borderId="4" xfId="0" applyFont="1" applyFill="1" applyBorder="1" applyAlignment="1">
      <alignment horizontal="center" vertical="center" wrapText="1"/>
    </xf>
    <xf numFmtId="0" fontId="21" fillId="15" borderId="4" xfId="0" applyFont="1" applyFill="1" applyBorder="1" applyAlignment="1">
      <alignment horizontal="center" vertical="center" wrapText="1"/>
    </xf>
    <xf numFmtId="0" fontId="30" fillId="26" borderId="4" xfId="0" applyFont="1" applyFill="1" applyBorder="1" applyAlignment="1">
      <alignment horizontal="center" vertical="center"/>
    </xf>
    <xf numFmtId="0" fontId="30" fillId="25" borderId="4" xfId="0" applyFont="1" applyFill="1" applyBorder="1" applyAlignment="1">
      <alignment horizontal="center" vertical="center"/>
    </xf>
    <xf numFmtId="0" fontId="16" fillId="24" borderId="4" xfId="0" applyFont="1" applyFill="1" applyBorder="1" applyAlignment="1">
      <alignment horizontal="center" vertical="center"/>
    </xf>
    <xf numFmtId="0" fontId="30" fillId="24" borderId="4" xfId="0" applyFont="1" applyFill="1" applyBorder="1" applyAlignment="1">
      <alignment horizontal="center" vertical="center"/>
    </xf>
    <xf numFmtId="0" fontId="24" fillId="24" borderId="4" xfId="0" applyFont="1" applyFill="1" applyBorder="1" applyAlignment="1">
      <alignment horizontal="center" vertical="center"/>
    </xf>
    <xf numFmtId="0" fontId="26" fillId="14" borderId="4" xfId="0" applyFont="1" applyFill="1" applyBorder="1" applyAlignment="1">
      <alignment horizontal="left" vertical="top" wrapText="1"/>
    </xf>
    <xf numFmtId="0" fontId="24" fillId="23" borderId="4" xfId="0" applyFont="1" applyFill="1" applyBorder="1" applyAlignment="1">
      <alignment horizontal="left" vertical="top" wrapText="1"/>
    </xf>
    <xf numFmtId="0" fontId="24" fillId="0" borderId="4" xfId="0" applyFont="1" applyBorder="1" applyAlignment="1">
      <alignment horizontal="center" vertical="top" wrapText="1"/>
    </xf>
    <xf numFmtId="0" fontId="24" fillId="24" borderId="4" xfId="0" applyFont="1" applyFill="1" applyBorder="1" applyAlignment="1">
      <alignment horizontal="left" vertical="top" wrapText="1"/>
    </xf>
    <xf numFmtId="0" fontId="16" fillId="25" borderId="4" xfId="0" applyFont="1" applyFill="1" applyBorder="1" applyAlignment="1" applyProtection="1">
      <alignment horizontal="left" vertical="top" wrapText="1"/>
      <protection locked="0"/>
    </xf>
    <xf numFmtId="0" fontId="25" fillId="0" borderId="0" xfId="0" applyFont="1" applyAlignment="1">
      <alignment horizontal="left" vertical="top" wrapText="1"/>
    </xf>
    <xf numFmtId="0" fontId="26" fillId="20" borderId="4" xfId="0" applyFont="1" applyFill="1" applyBorder="1" applyAlignment="1">
      <alignment horizontal="center" vertical="center" wrapText="1"/>
    </xf>
    <xf numFmtId="0" fontId="27" fillId="23" borderId="4" xfId="0" applyFont="1" applyFill="1" applyBorder="1" applyAlignment="1">
      <alignment horizontal="left" vertical="top" wrapText="1"/>
    </xf>
    <xf numFmtId="0" fontId="24" fillId="24" borderId="4" xfId="0" applyFont="1" applyFill="1" applyBorder="1" applyAlignment="1">
      <alignment horizontal="center" vertical="top" wrapText="1"/>
    </xf>
    <xf numFmtId="0" fontId="7" fillId="7" borderId="1" xfId="0" applyFont="1" applyFill="1" applyBorder="1" applyAlignment="1" applyProtection="1">
      <alignment horizontal="left" vertical="center" wrapText="1"/>
      <protection locked="0"/>
    </xf>
    <xf numFmtId="0" fontId="7" fillId="7" borderId="1" xfId="0" applyFont="1" applyFill="1" applyBorder="1" applyAlignment="1" applyProtection="1">
      <alignment horizontal="left" vertical="top" wrapText="1"/>
      <protection locked="0"/>
    </xf>
    <xf numFmtId="0" fontId="8" fillId="7" borderId="1" xfId="0" applyFont="1" applyFill="1" applyBorder="1" applyAlignment="1" applyProtection="1">
      <alignment horizontal="center" vertical="center" wrapText="1"/>
      <protection locked="0"/>
    </xf>
    <xf numFmtId="0" fontId="26" fillId="14" borderId="4" xfId="0" applyFont="1" applyFill="1" applyBorder="1" applyAlignment="1">
      <alignment horizontal="center" vertical="center" wrapText="1"/>
    </xf>
    <xf numFmtId="0" fontId="16" fillId="23" borderId="4" xfId="0" applyFont="1" applyFill="1" applyBorder="1" applyAlignment="1">
      <alignment horizontal="center" vertical="top" wrapText="1"/>
    </xf>
    <xf numFmtId="0" fontId="34" fillId="0" borderId="4" xfId="0" applyFont="1" applyBorder="1" applyAlignment="1">
      <alignment horizontal="left" vertical="top" wrapText="1"/>
    </xf>
    <xf numFmtId="9" fontId="24" fillId="0" borderId="4" xfId="0" applyNumberFormat="1" applyFont="1" applyBorder="1" applyAlignment="1">
      <alignment horizontal="center" vertical="top" wrapText="1"/>
    </xf>
    <xf numFmtId="0" fontId="35" fillId="0" borderId="0" xfId="0" applyFont="1" applyAlignment="1">
      <alignment horizontal="right" vertical="center" wrapText="1"/>
    </xf>
    <xf numFmtId="0" fontId="15" fillId="0" borderId="0" xfId="0" applyFont="1"/>
    <xf numFmtId="0" fontId="16" fillId="0" borderId="0" xfId="0" applyFont="1"/>
    <xf numFmtId="0" fontId="17" fillId="0" borderId="0" xfId="0" applyFont="1"/>
    <xf numFmtId="0" fontId="20" fillId="20" borderId="0" xfId="0" applyFont="1" applyFill="1" applyAlignment="1">
      <alignment horizontal="left" vertical="center"/>
    </xf>
    <xf numFmtId="0" fontId="0" fillId="0" borderId="0" xfId="0"/>
    <xf numFmtId="0" fontId="20" fillId="22" borderId="0" xfId="0" applyFont="1" applyFill="1" applyAlignment="1">
      <alignment horizontal="left" vertical="center"/>
    </xf>
    <xf numFmtId="0" fontId="20" fillId="18" borderId="0" xfId="0" applyFont="1" applyFill="1" applyAlignment="1">
      <alignment horizontal="left" vertical="center"/>
    </xf>
    <xf numFmtId="0" fontId="19" fillId="0" borderId="0" xfId="0" applyFont="1" applyAlignment="1">
      <alignment horizontal="left" vertical="center"/>
    </xf>
    <xf numFmtId="0" fontId="20" fillId="17" borderId="0" xfId="0" applyFont="1" applyFill="1" applyAlignment="1">
      <alignment horizontal="left" vertical="center"/>
    </xf>
    <xf numFmtId="0" fontId="18" fillId="0" borderId="0" xfId="0" applyFont="1" applyAlignment="1">
      <alignment horizontal="left" vertical="top"/>
    </xf>
    <xf numFmtId="0" fontId="20" fillId="14" borderId="0" xfId="0" applyFont="1" applyFill="1" applyAlignment="1">
      <alignment horizontal="left" vertical="center"/>
    </xf>
    <xf numFmtId="0" fontId="20" fillId="21" borderId="0" xfId="0" applyFont="1" applyFill="1" applyAlignment="1">
      <alignment horizontal="left" vertical="center"/>
    </xf>
    <xf numFmtId="0" fontId="16" fillId="0" borderId="4" xfId="0" applyFont="1" applyBorder="1" applyAlignment="1">
      <alignment horizontal="left" vertical="top" wrapText="1"/>
    </xf>
    <xf numFmtId="0" fontId="0" fillId="0" borderId="5" xfId="0" applyBorder="1"/>
    <xf numFmtId="0" fontId="0" fillId="0" borderId="6" xfId="0" applyBorder="1"/>
    <xf numFmtId="0" fontId="23" fillId="0" borderId="0" xfId="0" applyFont="1" applyAlignment="1">
      <alignment horizontal="left" vertical="top" wrapText="1"/>
    </xf>
    <xf numFmtId="0" fontId="22" fillId="0" borderId="0" xfId="0" applyFont="1" applyAlignment="1">
      <alignment horizontal="left" vertical="center"/>
    </xf>
    <xf numFmtId="0" fontId="24" fillId="0" borderId="4" xfId="0" applyFont="1" applyBorder="1" applyAlignment="1">
      <alignment horizontal="center" vertical="top" wrapText="1"/>
    </xf>
    <xf numFmtId="0" fontId="32" fillId="0" borderId="4" xfId="0" applyFont="1" applyBorder="1" applyAlignment="1">
      <alignment horizontal="left" vertical="top" wrapText="1"/>
    </xf>
    <xf numFmtId="0" fontId="26" fillId="14" borderId="4" xfId="0" applyFont="1" applyFill="1" applyBorder="1" applyAlignment="1">
      <alignment horizontal="center" vertical="top" wrapText="1"/>
    </xf>
    <xf numFmtId="0" fontId="26" fillId="17" borderId="4" xfId="0" applyFont="1" applyFill="1" applyBorder="1" applyAlignment="1">
      <alignment horizontal="center" vertical="top" wrapText="1"/>
    </xf>
    <xf numFmtId="0" fontId="26" fillId="27" borderId="4" xfId="0" applyFont="1" applyFill="1" applyBorder="1" applyAlignment="1">
      <alignment horizontal="center" vertical="top" wrapText="1"/>
    </xf>
    <xf numFmtId="0" fontId="31" fillId="0" borderId="4" xfId="0" applyFont="1" applyBorder="1" applyAlignment="1">
      <alignment horizontal="left" vertical="top" wrapText="1"/>
    </xf>
    <xf numFmtId="0" fontId="16" fillId="0" borderId="0" xfId="0" applyFont="1" applyAlignment="1">
      <alignment horizontal="left" vertical="top" wrapText="1"/>
    </xf>
    <xf numFmtId="0" fontId="16" fillId="25" borderId="4" xfId="0" applyFont="1" applyFill="1" applyBorder="1" applyAlignment="1" applyProtection="1">
      <alignment horizontal="left" vertical="top" wrapText="1"/>
      <protection locked="0"/>
    </xf>
    <xf numFmtId="0" fontId="0" fillId="0" borderId="5" xfId="0" applyBorder="1" applyProtection="1">
      <protection locked="0"/>
    </xf>
    <xf numFmtId="0" fontId="0" fillId="0" borderId="6" xfId="0" applyBorder="1" applyProtection="1">
      <protection locked="0"/>
    </xf>
    <xf numFmtId="0" fontId="27" fillId="23" borderId="4" xfId="0" applyFont="1" applyFill="1" applyBorder="1" applyAlignment="1">
      <alignment horizontal="left" vertical="top" wrapText="1"/>
    </xf>
    <xf numFmtId="0" fontId="26" fillId="20" borderId="4" xfId="0" applyFont="1" applyFill="1" applyBorder="1" applyAlignment="1">
      <alignment horizontal="center" vertical="center" wrapText="1"/>
    </xf>
    <xf numFmtId="0" fontId="28" fillId="25" borderId="4"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0" fillId="0" borderId="2" xfId="0" applyBorder="1"/>
    <xf numFmtId="0" fontId="0" fillId="0" borderId="3" xfId="0" applyBorder="1"/>
    <xf numFmtId="0" fontId="4" fillId="0" borderId="0" xfId="0" applyFont="1" applyAlignment="1">
      <alignment horizontal="left" vertical="center"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0" xfId="0" applyFont="1" applyFill="1" applyAlignment="1">
      <alignment horizontal="left" vertical="center" wrapText="1"/>
    </xf>
    <xf numFmtId="0" fontId="5" fillId="5" borderId="1" xfId="0" applyFont="1" applyFill="1" applyBorder="1" applyAlignment="1">
      <alignment horizontal="center" vertical="center" wrapText="1"/>
    </xf>
    <xf numFmtId="0" fontId="33" fillId="20" borderId="0" xfId="0" applyFont="1" applyFill="1" applyAlignment="1">
      <alignment horizontal="left" vertical="center"/>
    </xf>
    <xf numFmtId="0" fontId="36" fillId="0" borderId="4" xfId="0" applyFont="1" applyBorder="1" applyAlignment="1">
      <alignment horizontal="left" vertical="center" wrapText="1"/>
    </xf>
    <xf numFmtId="0" fontId="18" fillId="0" borderId="0" xfId="0" applyFont="1" applyAlignment="1">
      <alignment horizontal="left" vertical="top" wrapText="1"/>
    </xf>
  </cellXfs>
  <cellStyles count="1">
    <cellStyle name="Normal" xfId="0" builtinId="0"/>
  </cellStyles>
  <dxfs count="20">
    <dxf>
      <font>
        <color rgb="FF7F7F7F"/>
      </font>
      <fill>
        <patternFill patternType="solid">
          <fgColor rgb="FFD9D9D9"/>
          <bgColor rgb="FFD9D9D9"/>
        </patternFill>
      </fill>
    </dxf>
    <dxf>
      <font>
        <b/>
        <color rgb="FFFFFFFF"/>
      </font>
      <fill>
        <patternFill patternType="solid">
          <fgColor rgb="FFED7D31"/>
          <bgColor rgb="FFED7D31"/>
        </patternFill>
      </fill>
    </dxf>
    <dxf>
      <font>
        <b/>
        <color rgb="FF000000"/>
      </font>
      <fill>
        <patternFill patternType="solid">
          <fgColor rgb="FFA9D18E"/>
          <bgColor rgb="FFA9D18E"/>
        </patternFill>
      </fill>
    </dxf>
    <dxf>
      <font>
        <b/>
        <color rgb="FF000000"/>
        <name val="Arial"/>
        <charset val="1"/>
      </font>
      <fill>
        <patternFill>
          <bgColor rgb="FFA9D18E"/>
        </patternFill>
      </fill>
    </dxf>
    <dxf>
      <font>
        <b/>
        <color rgb="FF000000"/>
        <name val="Arial"/>
        <charset val="1"/>
      </font>
      <fill>
        <patternFill>
          <bgColor rgb="FFFFD966"/>
        </patternFill>
      </fill>
    </dxf>
    <dxf>
      <font>
        <b/>
        <color rgb="FFFFFFFF"/>
        <name val="Arial"/>
        <charset val="1"/>
      </font>
      <fill>
        <patternFill>
          <bgColor rgb="FFED7D31"/>
        </patternFill>
      </fill>
    </dxf>
    <dxf>
      <font>
        <b/>
        <color rgb="FFFFFFFF"/>
        <name val="Arial"/>
        <charset val="1"/>
      </font>
      <fill>
        <patternFill>
          <bgColor rgb="FFC00000"/>
        </patternFill>
      </fill>
    </dxf>
    <dxf>
      <font>
        <b/>
        <color rgb="FF000000"/>
        <name val="Arial"/>
        <charset val="1"/>
      </font>
      <fill>
        <patternFill>
          <bgColor rgb="FF9DC3E6"/>
        </patternFill>
      </fill>
    </dxf>
    <dxf>
      <font>
        <b/>
        <color rgb="FF000000"/>
      </font>
      <fill>
        <patternFill patternType="solid">
          <fgColor rgb="FFA9D18E"/>
          <bgColor rgb="FFA9D18E"/>
        </patternFill>
      </fill>
    </dxf>
    <dxf>
      <font>
        <b/>
        <color rgb="FF000000"/>
      </font>
      <fill>
        <patternFill patternType="solid">
          <fgColor rgb="FFFFD966"/>
          <bgColor rgb="FFFFD966"/>
        </patternFill>
      </fill>
    </dxf>
    <dxf>
      <font>
        <b/>
        <color rgb="FFFFFFFF"/>
      </font>
      <fill>
        <patternFill patternType="solid">
          <fgColor rgb="FFED7D31"/>
          <bgColor rgb="FFED7D31"/>
        </patternFill>
      </fill>
    </dxf>
    <dxf>
      <font>
        <b/>
        <color rgb="FFFFFFFF"/>
      </font>
      <fill>
        <patternFill patternType="solid">
          <fgColor rgb="FFC00000"/>
          <bgColor rgb="FFC00000"/>
        </patternFill>
      </fill>
    </dxf>
    <dxf>
      <font>
        <b/>
        <color rgb="FF000000"/>
      </font>
      <fill>
        <patternFill patternType="solid">
          <fgColor rgb="FFA9D18E"/>
          <bgColor rgb="FFA9D18E"/>
        </patternFill>
      </fill>
    </dxf>
    <dxf>
      <font>
        <b/>
        <color rgb="FF000000"/>
      </font>
      <fill>
        <patternFill patternType="solid">
          <fgColor rgb="FFFFD966"/>
          <bgColor rgb="FFFFD966"/>
        </patternFill>
      </fill>
    </dxf>
    <dxf>
      <font>
        <b/>
        <color rgb="FFFFFFFF"/>
      </font>
      <fill>
        <patternFill patternType="solid">
          <fgColor rgb="FFED7D31"/>
          <bgColor rgb="FFED7D31"/>
        </patternFill>
      </fill>
    </dxf>
    <dxf>
      <font>
        <b/>
        <color rgb="FFFFFFFF"/>
      </font>
      <fill>
        <patternFill patternType="solid">
          <fgColor rgb="FFC00000"/>
          <bgColor rgb="FFC00000"/>
        </patternFill>
      </fill>
    </dxf>
    <dxf>
      <font>
        <b/>
        <color rgb="FF000000"/>
      </font>
      <fill>
        <patternFill patternType="solid">
          <fgColor rgb="FFA9D18E"/>
          <bgColor rgb="FFA9D18E"/>
        </patternFill>
      </fill>
    </dxf>
    <dxf>
      <font>
        <b/>
        <color rgb="FF000000"/>
      </font>
      <fill>
        <patternFill patternType="solid">
          <fgColor rgb="FFFFD966"/>
          <bgColor rgb="FFFFD966"/>
        </patternFill>
      </fill>
    </dxf>
    <dxf>
      <font>
        <b/>
        <color rgb="FFFFFFFF"/>
      </font>
      <fill>
        <patternFill patternType="solid">
          <fgColor rgb="FFED7D31"/>
          <bgColor rgb="FFED7D31"/>
        </patternFill>
      </fill>
    </dxf>
    <dxf>
      <font>
        <b/>
        <color rgb="FFFFFFFF"/>
      </font>
      <fill>
        <patternFill patternType="solid">
          <fgColor rgb="FFC00000"/>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8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7FC"/>
      <rgbColor rgb="FFEDEDED"/>
      <rgbColor rgb="FFFBF1E9"/>
      <rgbColor rgb="FF9DC3E6"/>
      <rgbColor rgb="FFFF99CC"/>
      <rgbColor rgb="FFCC99FF"/>
      <rgbColor rgb="FFFFD966"/>
      <rgbColor rgb="FF2E75B6"/>
      <rgbColor rgb="FF33CCCC"/>
      <rgbColor rgb="FF99CC00"/>
      <rgbColor rgb="FFFFCC00"/>
      <rgbColor rgb="FFFF9900"/>
      <rgbColor rgb="FFED7D31"/>
      <rgbColor rgb="FF595959"/>
      <rgbColor rgb="FFA9D18E"/>
      <rgbColor rgb="FF1F3A5F"/>
      <rgbColor rgb="FF4F81BD"/>
      <rgbColor rgb="FF003300"/>
      <rgbColor rgb="FF333300"/>
      <rgbColor rgb="FFC55A11"/>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Jumlah ancaman per level risiko</a:t>
            </a:r>
          </a:p>
        </c:rich>
      </c:tx>
      <c:overlay val="1"/>
    </c:title>
    <c:autoTitleDeleted val="0"/>
    <c:plotArea>
      <c:layout/>
      <c:barChart>
        <c:barDir val="col"/>
        <c:grouping val="clustered"/>
        <c:varyColors val="1"/>
        <c:ser>
          <c:idx val="0"/>
          <c:order val="0"/>
          <c:tx>
            <c:strRef>
              <c:f>Ringkasan!$C$4</c:f>
              <c:strCache>
                <c:ptCount val="1"/>
                <c:pt idx="0">
                  <c:v>Jumlah ancaman</c:v>
                </c:pt>
              </c:strCache>
            </c:strRef>
          </c:tx>
          <c:spPr>
            <a:solidFill>
              <a:srgbClr val="4F81BD"/>
            </a:solidFill>
            <a:ln>
              <a:prstDash val="solid"/>
            </a:ln>
          </c:spPr>
          <c:invertIfNegative val="1"/>
          <c:dPt>
            <c:idx val="0"/>
            <c:invertIfNegative val="1"/>
            <c:bubble3D val="0"/>
            <c:spPr>
              <a:solidFill>
                <a:srgbClr val="C00000"/>
              </a:solidFill>
              <a:ln>
                <a:prstDash val="solid"/>
              </a:ln>
            </c:spPr>
            <c:extLst>
              <c:ext xmlns:c16="http://schemas.microsoft.com/office/drawing/2014/chart" uri="{C3380CC4-5D6E-409C-BE32-E72D297353CC}">
                <c16:uniqueId val="{00000001-FDBD-45CC-98C8-8320EB552DCC}"/>
              </c:ext>
            </c:extLst>
          </c:dPt>
          <c:dPt>
            <c:idx val="1"/>
            <c:invertIfNegative val="1"/>
            <c:bubble3D val="0"/>
            <c:spPr>
              <a:solidFill>
                <a:srgbClr val="ED7D31"/>
              </a:solidFill>
              <a:ln>
                <a:prstDash val="solid"/>
              </a:ln>
            </c:spPr>
            <c:extLst>
              <c:ext xmlns:c16="http://schemas.microsoft.com/office/drawing/2014/chart" uri="{C3380CC4-5D6E-409C-BE32-E72D297353CC}">
                <c16:uniqueId val="{00000003-FDBD-45CC-98C8-8320EB552DCC}"/>
              </c:ext>
            </c:extLst>
          </c:dPt>
          <c:dPt>
            <c:idx val="2"/>
            <c:invertIfNegative val="1"/>
            <c:bubble3D val="0"/>
            <c:spPr>
              <a:solidFill>
                <a:srgbClr val="FFD966"/>
              </a:solidFill>
              <a:ln>
                <a:prstDash val="solid"/>
              </a:ln>
            </c:spPr>
            <c:extLst>
              <c:ext xmlns:c16="http://schemas.microsoft.com/office/drawing/2014/chart" uri="{C3380CC4-5D6E-409C-BE32-E72D297353CC}">
                <c16:uniqueId val="{00000005-FDBD-45CC-98C8-8320EB552DCC}"/>
              </c:ext>
            </c:extLst>
          </c:dPt>
          <c:dPt>
            <c:idx val="3"/>
            <c:invertIfNegative val="1"/>
            <c:bubble3D val="0"/>
            <c:spPr>
              <a:solidFill>
                <a:srgbClr val="A9D18E"/>
              </a:solidFill>
              <a:ln>
                <a:prstDash val="solid"/>
              </a:ln>
            </c:spPr>
            <c:extLst>
              <c:ext xmlns:c16="http://schemas.microsoft.com/office/drawing/2014/chart" uri="{C3380CC4-5D6E-409C-BE32-E72D297353CC}">
                <c16:uniqueId val="{00000007-FDBD-45CC-98C8-8320EB552DCC}"/>
              </c:ext>
            </c:extLst>
          </c:dPt>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Ringkasan!$B$5:$B$8</c:f>
              <c:strCache>
                <c:ptCount val="4"/>
                <c:pt idx="0">
                  <c:v>CRITICAL</c:v>
                </c:pt>
                <c:pt idx="1">
                  <c:v>HIGH</c:v>
                </c:pt>
                <c:pt idx="2">
                  <c:v>MEDIUM</c:v>
                </c:pt>
                <c:pt idx="3">
                  <c:v>LOW</c:v>
                </c:pt>
              </c:strCache>
            </c:strRef>
          </c:cat>
          <c:val>
            <c:numRef>
              <c:f>Ringkasan!$C$5:$C$8</c:f>
              <c:numCache>
                <c:formatCode>General</c:formatCode>
                <c:ptCount val="4"/>
                <c:pt idx="0">
                  <c:v>2</c:v>
                </c:pt>
                <c:pt idx="1">
                  <c:v>7</c:v>
                </c:pt>
                <c:pt idx="2">
                  <c:v>0</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8-FDBD-45CC-98C8-8320EB552DCC}"/>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l"/>
        <c:majorGridlines/>
        <c:title>
          <c:tx>
            <c:rich>
              <a:bodyPr/>
              <a:lstStyle/>
              <a:p>
                <a:pPr>
                  <a:defRPr/>
                </a:pPr>
                <a:r>
                  <a:t>Jumlah ancaman</a:t>
                </a:r>
              </a:p>
            </c:rich>
          </c:tx>
          <c:overlay val="1"/>
        </c:title>
        <c:numFmt formatCode="General" sourceLinked="1"/>
        <c:majorTickMark val="none"/>
        <c:minorTickMark val="none"/>
        <c:tickLblPos val="nextTo"/>
        <c:crossAx val="10"/>
        <c:crosses val="autoZero"/>
        <c:crossBetween val="between"/>
        <c:majorUnit val="1"/>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5</xdr:col>
      <xdr:colOff>3408218</xdr:colOff>
      <xdr:row>154</xdr:row>
      <xdr:rowOff>126874</xdr:rowOff>
    </xdr:to>
    <xdr:pic>
      <xdr:nvPicPr>
        <xdr:cNvPr id="4" name="Picture 3">
          <a:extLst>
            <a:ext uri="{FF2B5EF4-FFF2-40B4-BE49-F238E27FC236}">
              <a16:creationId xmlns:a16="http://schemas.microsoft.com/office/drawing/2014/main" id="{944D4A86-7E53-6615-BF5A-5DB1FE4AD0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2291964"/>
          <a:ext cx="14090073" cy="21241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2</xdr:row>
      <xdr:rowOff>0</xdr:rowOff>
    </xdr:from>
    <xdr:ext cx="6120000" cy="28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B2:C61"/>
  <sheetViews>
    <sheetView showGridLines="0" workbookViewId="0"/>
  </sheetViews>
  <sheetFormatPr defaultRowHeight="14.4" x14ac:dyDescent="0.3"/>
  <cols>
    <col min="1" max="1" width="2" customWidth="1"/>
    <col min="2" max="2" width="26" customWidth="1"/>
    <col min="3" max="3" width="120" customWidth="1"/>
  </cols>
  <sheetData>
    <row r="2" spans="2:3" ht="31.95" customHeight="1" x14ac:dyDescent="0.3">
      <c r="B2" s="69" t="s">
        <v>0</v>
      </c>
      <c r="C2" s="66"/>
    </row>
    <row r="3" spans="2:3" x14ac:dyDescent="0.3">
      <c r="B3" s="71" t="s">
        <v>1</v>
      </c>
      <c r="C3" s="66"/>
    </row>
    <row r="5" spans="2:3" ht="22.05" customHeight="1" x14ac:dyDescent="0.3">
      <c r="B5" s="72" t="s">
        <v>2</v>
      </c>
      <c r="C5" s="66"/>
    </row>
    <row r="6" spans="2:3" ht="32.549999999999997" customHeight="1" x14ac:dyDescent="0.3">
      <c r="B6" s="31" t="s">
        <v>3</v>
      </c>
      <c r="C6" s="32" t="s">
        <v>4</v>
      </c>
    </row>
    <row r="7" spans="2:3" ht="46.35" customHeight="1" x14ac:dyDescent="0.3">
      <c r="B7" s="31" t="s">
        <v>5</v>
      </c>
      <c r="C7" s="32" t="s">
        <v>6</v>
      </c>
    </row>
    <row r="8" spans="2:3" ht="32.549999999999997" customHeight="1" x14ac:dyDescent="0.3">
      <c r="B8" s="31" t="s">
        <v>7</v>
      </c>
      <c r="C8" s="32" t="s">
        <v>8</v>
      </c>
    </row>
    <row r="9" spans="2:3" ht="18.75" customHeight="1" x14ac:dyDescent="0.3">
      <c r="B9" s="31" t="s">
        <v>9</v>
      </c>
      <c r="C9" s="32" t="s">
        <v>10</v>
      </c>
    </row>
    <row r="10" spans="2:3" ht="18.75" customHeight="1" x14ac:dyDescent="0.3">
      <c r="B10" s="31" t="s">
        <v>11</v>
      </c>
      <c r="C10" s="32" t="s">
        <v>12</v>
      </c>
    </row>
    <row r="12" spans="2:3" ht="22.05" customHeight="1" x14ac:dyDescent="0.3">
      <c r="B12" s="72" t="s">
        <v>13</v>
      </c>
      <c r="C12" s="66"/>
    </row>
    <row r="13" spans="2:3" ht="46.35" customHeight="1" x14ac:dyDescent="0.3">
      <c r="B13" s="33" t="s">
        <v>14</v>
      </c>
      <c r="C13" s="32" t="s">
        <v>15</v>
      </c>
    </row>
    <row r="14" spans="2:3" ht="73.95" customHeight="1" x14ac:dyDescent="0.3">
      <c r="B14" s="33" t="s">
        <v>16</v>
      </c>
      <c r="C14" s="32" t="s">
        <v>17</v>
      </c>
    </row>
    <row r="15" spans="2:3" ht="60.15" customHeight="1" x14ac:dyDescent="0.3">
      <c r="B15" s="33" t="s">
        <v>18</v>
      </c>
      <c r="C15" s="32" t="s">
        <v>19</v>
      </c>
    </row>
    <row r="16" spans="2:3" ht="87.75" customHeight="1" x14ac:dyDescent="0.3">
      <c r="B16" s="33" t="s">
        <v>20</v>
      </c>
      <c r="C16" s="32" t="s">
        <v>21</v>
      </c>
    </row>
    <row r="17" spans="2:3" ht="60.15" customHeight="1" x14ac:dyDescent="0.3">
      <c r="B17" s="33" t="s">
        <v>22</v>
      </c>
      <c r="C17" s="32" t="s">
        <v>23</v>
      </c>
    </row>
    <row r="18" spans="2:3" ht="73.95" customHeight="1" x14ac:dyDescent="0.3">
      <c r="B18" s="33" t="s">
        <v>24</v>
      </c>
      <c r="C18" s="32" t="s">
        <v>25</v>
      </c>
    </row>
    <row r="19" spans="2:3" ht="73.95" customHeight="1" x14ac:dyDescent="0.3">
      <c r="B19" s="33" t="s">
        <v>26</v>
      </c>
      <c r="C19" s="32" t="s">
        <v>27</v>
      </c>
    </row>
    <row r="20" spans="2:3" ht="73.95" customHeight="1" x14ac:dyDescent="0.3">
      <c r="B20" s="33" t="s">
        <v>28</v>
      </c>
      <c r="C20" s="32" t="s">
        <v>29</v>
      </c>
    </row>
    <row r="21" spans="2:3" ht="73.95" customHeight="1" x14ac:dyDescent="0.3">
      <c r="B21" s="33" t="s">
        <v>30</v>
      </c>
      <c r="C21" s="32" t="s">
        <v>31</v>
      </c>
    </row>
    <row r="22" spans="2:3" ht="46.35" customHeight="1" x14ac:dyDescent="0.3">
      <c r="B22" s="33" t="s">
        <v>32</v>
      </c>
      <c r="C22" s="32" t="s">
        <v>33</v>
      </c>
    </row>
    <row r="23" spans="2:3" ht="32.549999999999997" customHeight="1" x14ac:dyDescent="0.3">
      <c r="B23" s="33" t="s">
        <v>34</v>
      </c>
      <c r="C23" s="32" t="s">
        <v>35</v>
      </c>
    </row>
    <row r="25" spans="2:3" ht="22.05" customHeight="1" x14ac:dyDescent="0.3">
      <c r="B25" s="70" t="s">
        <v>36</v>
      </c>
      <c r="C25" s="66"/>
    </row>
    <row r="26" spans="2:3" ht="32.549999999999997" customHeight="1" x14ac:dyDescent="0.3">
      <c r="B26" s="31" t="s">
        <v>37</v>
      </c>
      <c r="C26" s="32" t="s">
        <v>38</v>
      </c>
    </row>
    <row r="27" spans="2:3" ht="18.75" customHeight="1" x14ac:dyDescent="0.3">
      <c r="B27" s="31" t="s">
        <v>39</v>
      </c>
      <c r="C27" s="32" t="s">
        <v>40</v>
      </c>
    </row>
    <row r="28" spans="2:3" ht="32.549999999999997" customHeight="1" x14ac:dyDescent="0.3">
      <c r="B28" s="31" t="s">
        <v>41</v>
      </c>
      <c r="C28" s="32" t="s">
        <v>42</v>
      </c>
    </row>
    <row r="30" spans="2:3" ht="22.05" customHeight="1" x14ac:dyDescent="0.3">
      <c r="B30" s="68" t="s">
        <v>43</v>
      </c>
      <c r="C30" s="66"/>
    </row>
    <row r="31" spans="2:3" ht="18.75" customHeight="1" x14ac:dyDescent="0.3">
      <c r="B31" s="34" t="s">
        <v>44</v>
      </c>
      <c r="C31" s="32" t="s">
        <v>45</v>
      </c>
    </row>
    <row r="32" spans="2:3" ht="18.75" customHeight="1" x14ac:dyDescent="0.3">
      <c r="B32" s="34" t="s">
        <v>46</v>
      </c>
      <c r="C32" s="32" t="s">
        <v>47</v>
      </c>
    </row>
    <row r="33" spans="2:3" ht="18.75" customHeight="1" x14ac:dyDescent="0.3">
      <c r="B33" s="34" t="s">
        <v>48</v>
      </c>
      <c r="C33" s="32" t="s">
        <v>49</v>
      </c>
    </row>
    <row r="34" spans="2:3" ht="18.75" customHeight="1" x14ac:dyDescent="0.3">
      <c r="B34" s="34" t="s">
        <v>50</v>
      </c>
      <c r="C34" s="32" t="s">
        <v>51</v>
      </c>
    </row>
    <row r="35" spans="2:3" ht="18.75" customHeight="1" x14ac:dyDescent="0.3">
      <c r="B35" s="34" t="s">
        <v>52</v>
      </c>
      <c r="C35" s="32" t="s">
        <v>53</v>
      </c>
    </row>
    <row r="36" spans="2:3" ht="18.75" customHeight="1" x14ac:dyDescent="0.3">
      <c r="B36" s="34" t="s">
        <v>54</v>
      </c>
      <c r="C36" s="32" t="s">
        <v>55</v>
      </c>
    </row>
    <row r="37" spans="2:3" ht="32.549999999999997" customHeight="1" x14ac:dyDescent="0.3">
      <c r="B37" s="34" t="s">
        <v>56</v>
      </c>
      <c r="C37" s="32" t="s">
        <v>57</v>
      </c>
    </row>
    <row r="39" spans="2:3" ht="22.05" customHeight="1" x14ac:dyDescent="0.3">
      <c r="B39" s="65" t="s">
        <v>58</v>
      </c>
      <c r="C39" s="66"/>
    </row>
    <row r="40" spans="2:3" ht="32.549999999999997" customHeight="1" x14ac:dyDescent="0.3">
      <c r="B40" s="31" t="s">
        <v>59</v>
      </c>
      <c r="C40" s="32" t="s">
        <v>60</v>
      </c>
    </row>
    <row r="41" spans="2:3" ht="32.549999999999997" customHeight="1" x14ac:dyDescent="0.3">
      <c r="B41" s="31" t="s">
        <v>61</v>
      </c>
      <c r="C41" s="32" t="s">
        <v>62</v>
      </c>
    </row>
    <row r="42" spans="2:3" ht="32.549999999999997" customHeight="1" x14ac:dyDescent="0.3">
      <c r="B42" s="31" t="s">
        <v>63</v>
      </c>
      <c r="C42" s="32" t="s">
        <v>64</v>
      </c>
    </row>
    <row r="43" spans="2:3" ht="18.75" customHeight="1" x14ac:dyDescent="0.3">
      <c r="B43" s="31" t="s">
        <v>65</v>
      </c>
      <c r="C43" s="32" t="s">
        <v>66</v>
      </c>
    </row>
    <row r="45" spans="2:3" ht="22.05" customHeight="1" x14ac:dyDescent="0.3">
      <c r="B45" s="73" t="s">
        <v>67</v>
      </c>
      <c r="C45" s="66"/>
    </row>
    <row r="46" spans="2:3" ht="18.75" customHeight="1" x14ac:dyDescent="0.3">
      <c r="B46" s="31" t="s">
        <v>68</v>
      </c>
      <c r="C46" s="32" t="s">
        <v>69</v>
      </c>
    </row>
    <row r="47" spans="2:3" ht="18.75" customHeight="1" x14ac:dyDescent="0.3">
      <c r="B47" s="31" t="s">
        <v>70</v>
      </c>
      <c r="C47" s="32" t="s">
        <v>71</v>
      </c>
    </row>
    <row r="48" spans="2:3" ht="18.75" customHeight="1" x14ac:dyDescent="0.3">
      <c r="B48" s="31" t="s">
        <v>72</v>
      </c>
      <c r="C48" s="32" t="s">
        <v>73</v>
      </c>
    </row>
    <row r="49" spans="2:3" ht="18.75" customHeight="1" x14ac:dyDescent="0.3">
      <c r="B49" s="31" t="s">
        <v>74</v>
      </c>
      <c r="C49" s="32" t="s">
        <v>75</v>
      </c>
    </row>
    <row r="50" spans="2:3" ht="18.75" customHeight="1" x14ac:dyDescent="0.3">
      <c r="B50" s="31" t="s">
        <v>76</v>
      </c>
      <c r="C50" s="32" t="s">
        <v>77</v>
      </c>
    </row>
    <row r="52" spans="2:3" ht="22.05" customHeight="1" x14ac:dyDescent="0.3">
      <c r="B52" s="67" t="s">
        <v>78</v>
      </c>
      <c r="C52" s="66"/>
    </row>
    <row r="53" spans="2:3" ht="18.75" customHeight="1" x14ac:dyDescent="0.3">
      <c r="B53" s="35" t="s">
        <v>79</v>
      </c>
      <c r="C53" s="32" t="s">
        <v>80</v>
      </c>
    </row>
    <row r="54" spans="2:3" ht="18.75" customHeight="1" x14ac:dyDescent="0.3">
      <c r="B54" s="35" t="s">
        <v>81</v>
      </c>
      <c r="C54" s="32" t="s">
        <v>82</v>
      </c>
    </row>
    <row r="55" spans="2:3" ht="18.75" customHeight="1" x14ac:dyDescent="0.3">
      <c r="B55" s="35" t="s">
        <v>83</v>
      </c>
      <c r="C55" s="32" t="s">
        <v>84</v>
      </c>
    </row>
    <row r="56" spans="2:3" ht="18.75" customHeight="1" x14ac:dyDescent="0.3">
      <c r="B56" s="35" t="s">
        <v>85</v>
      </c>
      <c r="C56" s="32" t="s">
        <v>86</v>
      </c>
    </row>
    <row r="57" spans="2:3" ht="18.75" customHeight="1" x14ac:dyDescent="0.3">
      <c r="B57" s="35" t="s">
        <v>87</v>
      </c>
      <c r="C57" s="32" t="s">
        <v>88</v>
      </c>
    </row>
    <row r="58" spans="2:3" ht="18.75" customHeight="1" x14ac:dyDescent="0.3">
      <c r="B58" s="35" t="s">
        <v>89</v>
      </c>
      <c r="C58" s="32" t="s">
        <v>90</v>
      </c>
    </row>
    <row r="59" spans="2:3" ht="18.75" customHeight="1" x14ac:dyDescent="0.3">
      <c r="B59" s="35" t="s">
        <v>91</v>
      </c>
      <c r="C59" s="32" t="s">
        <v>92</v>
      </c>
    </row>
    <row r="60" spans="2:3" ht="18.75" customHeight="1" x14ac:dyDescent="0.3">
      <c r="B60" s="35" t="s">
        <v>93</v>
      </c>
      <c r="C60" s="32" t="s">
        <v>94</v>
      </c>
    </row>
    <row r="61" spans="2:3" ht="32.549999999999997" customHeight="1" x14ac:dyDescent="0.3">
      <c r="B61" s="35" t="s">
        <v>95</v>
      </c>
      <c r="C61" s="32" t="s">
        <v>96</v>
      </c>
    </row>
  </sheetData>
  <sheetProtection sheet="1" formatCells="0" formatColumns="0" formatRows="0" sort="0" autoFilter="0"/>
  <mergeCells count="9">
    <mergeCell ref="B39:C39"/>
    <mergeCell ref="B52:C52"/>
    <mergeCell ref="B30:C30"/>
    <mergeCell ref="B2:C2"/>
    <mergeCell ref="B25:C25"/>
    <mergeCell ref="B3:C3"/>
    <mergeCell ref="B5:C5"/>
    <mergeCell ref="B45:C45"/>
    <mergeCell ref="B12: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B2:P52"/>
  <sheetViews>
    <sheetView showGridLines="0" workbookViewId="0"/>
  </sheetViews>
  <sheetFormatPr defaultRowHeight="14.4" x14ac:dyDescent="0.3"/>
  <cols>
    <col min="1" max="1" width="2" customWidth="1"/>
    <col min="2" max="2" width="24" customWidth="1"/>
    <col min="3" max="16" width="9.44140625" customWidth="1"/>
  </cols>
  <sheetData>
    <row r="2" spans="2:16" ht="30" customHeight="1" x14ac:dyDescent="0.3">
      <c r="B2" s="78" t="s">
        <v>97</v>
      </c>
      <c r="C2" s="66"/>
      <c r="D2" s="66"/>
      <c r="E2" s="66"/>
      <c r="F2" s="66"/>
      <c r="G2" s="66"/>
      <c r="H2" s="66"/>
      <c r="I2" s="66"/>
      <c r="J2" s="66"/>
      <c r="K2" s="66"/>
      <c r="L2" s="66"/>
      <c r="M2" s="66"/>
      <c r="N2" s="66"/>
      <c r="O2" s="66"/>
      <c r="P2" s="66"/>
    </row>
    <row r="3" spans="2:16" ht="32.549999999999997" customHeight="1" x14ac:dyDescent="0.3">
      <c r="B3" s="77" t="s">
        <v>98</v>
      </c>
      <c r="C3" s="66"/>
      <c r="D3" s="66"/>
      <c r="E3" s="66"/>
      <c r="F3" s="66"/>
      <c r="G3" s="66"/>
      <c r="H3" s="66"/>
      <c r="I3" s="66"/>
      <c r="J3" s="66"/>
      <c r="K3" s="66"/>
      <c r="L3" s="66"/>
      <c r="M3" s="66"/>
      <c r="N3" s="66"/>
      <c r="O3" s="66"/>
      <c r="P3" s="66"/>
    </row>
    <row r="5" spans="2:16" ht="22.05" customHeight="1" x14ac:dyDescent="0.3">
      <c r="B5" s="72" t="s">
        <v>99</v>
      </c>
      <c r="C5" s="66"/>
      <c r="D5" s="66"/>
      <c r="E5" s="66"/>
      <c r="F5" s="66"/>
      <c r="G5" s="66"/>
      <c r="H5" s="66"/>
      <c r="I5" s="66"/>
      <c r="J5" s="66"/>
      <c r="K5" s="66"/>
      <c r="L5" s="66"/>
      <c r="M5" s="66"/>
      <c r="N5" s="66"/>
      <c r="O5" s="66"/>
      <c r="P5" s="66"/>
    </row>
    <row r="7" spans="2:16" ht="22.05" customHeight="1" x14ac:dyDescent="0.3">
      <c r="B7" s="65" t="s">
        <v>100</v>
      </c>
      <c r="C7" s="66"/>
      <c r="D7" s="66"/>
      <c r="E7" s="66"/>
      <c r="F7" s="66"/>
      <c r="G7" s="66"/>
      <c r="H7" s="66"/>
      <c r="I7" s="66"/>
      <c r="J7" s="66"/>
      <c r="K7" s="66"/>
      <c r="L7" s="66"/>
      <c r="M7" s="66"/>
      <c r="N7" s="66"/>
      <c r="O7" s="66"/>
      <c r="P7" s="66"/>
    </row>
    <row r="8" spans="2:16" ht="32.549999999999997" customHeight="1" x14ac:dyDescent="0.3">
      <c r="B8" s="31" t="s">
        <v>101</v>
      </c>
      <c r="C8" s="74" t="s">
        <v>102</v>
      </c>
      <c r="D8" s="75"/>
      <c r="E8" s="75"/>
      <c r="F8" s="75"/>
      <c r="G8" s="75"/>
      <c r="H8" s="75"/>
      <c r="I8" s="75"/>
      <c r="J8" s="75"/>
      <c r="K8" s="75"/>
      <c r="L8" s="75"/>
      <c r="M8" s="75"/>
      <c r="N8" s="75"/>
      <c r="O8" s="75"/>
      <c r="P8" s="76"/>
    </row>
    <row r="9" spans="2:16" ht="60.15" customHeight="1" x14ac:dyDescent="0.3">
      <c r="B9" s="31" t="s">
        <v>103</v>
      </c>
      <c r="C9" s="74" t="s">
        <v>104</v>
      </c>
      <c r="D9" s="75"/>
      <c r="E9" s="75"/>
      <c r="F9" s="75"/>
      <c r="G9" s="75"/>
      <c r="H9" s="75"/>
      <c r="I9" s="75"/>
      <c r="J9" s="75"/>
      <c r="K9" s="75"/>
      <c r="L9" s="75"/>
      <c r="M9" s="75"/>
      <c r="N9" s="75"/>
      <c r="O9" s="75"/>
      <c r="P9" s="76"/>
    </row>
    <row r="10" spans="2:16" ht="32.549999999999997" customHeight="1" x14ac:dyDescent="0.3">
      <c r="B10" s="31" t="s">
        <v>105</v>
      </c>
      <c r="C10" s="74" t="s">
        <v>106</v>
      </c>
      <c r="D10" s="75"/>
      <c r="E10" s="75"/>
      <c r="F10" s="75"/>
      <c r="G10" s="75"/>
      <c r="H10" s="75"/>
      <c r="I10" s="75"/>
      <c r="J10" s="75"/>
      <c r="K10" s="75"/>
      <c r="L10" s="75"/>
      <c r="M10" s="75"/>
      <c r="N10" s="75"/>
      <c r="O10" s="75"/>
      <c r="P10" s="76"/>
    </row>
    <row r="11" spans="2:16" ht="73.95" customHeight="1" x14ac:dyDescent="0.3">
      <c r="B11" s="31" t="s">
        <v>107</v>
      </c>
      <c r="C11" s="74" t="s">
        <v>108</v>
      </c>
      <c r="D11" s="75"/>
      <c r="E11" s="75"/>
      <c r="F11" s="75"/>
      <c r="G11" s="75"/>
      <c r="H11" s="75"/>
      <c r="I11" s="75"/>
      <c r="J11" s="75"/>
      <c r="K11" s="75"/>
      <c r="L11" s="75"/>
      <c r="M11" s="75"/>
      <c r="N11" s="75"/>
      <c r="O11" s="75"/>
      <c r="P11" s="76"/>
    </row>
    <row r="12" spans="2:16" ht="25.95" customHeight="1" x14ac:dyDescent="0.3">
      <c r="B12" s="31" t="s">
        <v>109</v>
      </c>
      <c r="C12" s="36" t="s">
        <v>110</v>
      </c>
      <c r="D12" s="36" t="s">
        <v>111</v>
      </c>
      <c r="E12" s="36" t="s">
        <v>112</v>
      </c>
      <c r="F12" s="36" t="s">
        <v>113</v>
      </c>
      <c r="G12" s="36" t="s">
        <v>114</v>
      </c>
      <c r="H12" s="36" t="s">
        <v>115</v>
      </c>
      <c r="I12" s="36" t="s">
        <v>116</v>
      </c>
      <c r="J12" s="37" t="s">
        <v>117</v>
      </c>
      <c r="K12" s="37" t="s">
        <v>118</v>
      </c>
      <c r="L12" s="37" t="s">
        <v>119</v>
      </c>
      <c r="M12" s="37" t="s">
        <v>120</v>
      </c>
      <c r="N12" s="37" t="s">
        <v>121</v>
      </c>
      <c r="O12" s="38" t="s">
        <v>122</v>
      </c>
      <c r="P12" s="38" t="s">
        <v>123</v>
      </c>
    </row>
    <row r="13" spans="2:16" ht="24" customHeight="1" x14ac:dyDescent="0.3">
      <c r="B13" s="39" t="s">
        <v>124</v>
      </c>
      <c r="C13" s="40">
        <v>1</v>
      </c>
      <c r="D13" s="41">
        <v>0</v>
      </c>
      <c r="E13" s="41">
        <v>0</v>
      </c>
      <c r="F13" s="40">
        <v>1</v>
      </c>
      <c r="G13" s="41">
        <v>0</v>
      </c>
      <c r="H13" s="41">
        <v>0</v>
      </c>
      <c r="I13" s="42">
        <f>SUM(C13:H13)</f>
        <v>2</v>
      </c>
      <c r="J13" s="41">
        <v>5</v>
      </c>
      <c r="K13" s="41">
        <v>9</v>
      </c>
      <c r="L13" s="41">
        <v>7</v>
      </c>
      <c r="M13" s="41">
        <v>5</v>
      </c>
      <c r="N13" s="41">
        <v>8</v>
      </c>
      <c r="O13" s="43">
        <f>SUM(J13:N13)</f>
        <v>34</v>
      </c>
      <c r="P13" s="44" t="str">
        <f>IF(O13="","",IF(O13&gt;=DREAD_Guidelines!$B$13,"CRITICAL",IF(O13&gt;=DREAD_Guidelines!$B$14,"HIGH",IF(O13&gt;=DREAD_Guidelines!$B$15,"MEDIUM","LOW"))))</f>
        <v>HIGH</v>
      </c>
    </row>
    <row r="14" spans="2:16" ht="73.95" customHeight="1" x14ac:dyDescent="0.3">
      <c r="B14" s="31" t="s">
        <v>125</v>
      </c>
      <c r="C14" s="74" t="s">
        <v>126</v>
      </c>
      <c r="D14" s="75"/>
      <c r="E14" s="75"/>
      <c r="F14" s="75"/>
      <c r="G14" s="75"/>
      <c r="H14" s="75"/>
      <c r="I14" s="75"/>
      <c r="J14" s="75"/>
      <c r="K14" s="75"/>
      <c r="L14" s="75"/>
      <c r="M14" s="75"/>
      <c r="N14" s="75"/>
      <c r="O14" s="75"/>
      <c r="P14" s="76"/>
    </row>
    <row r="16" spans="2:16" ht="22.05" customHeight="1" x14ac:dyDescent="0.3">
      <c r="B16" s="65" t="s">
        <v>127</v>
      </c>
      <c r="C16" s="66"/>
      <c r="D16" s="66"/>
      <c r="E16" s="66"/>
      <c r="F16" s="66"/>
      <c r="G16" s="66"/>
      <c r="H16" s="66"/>
      <c r="I16" s="66"/>
      <c r="J16" s="66"/>
      <c r="K16" s="66"/>
      <c r="L16" s="66"/>
      <c r="M16" s="66"/>
      <c r="N16" s="66"/>
      <c r="O16" s="66"/>
      <c r="P16" s="66"/>
    </row>
    <row r="17" spans="2:16" ht="32.549999999999997" customHeight="1" x14ac:dyDescent="0.3">
      <c r="B17" s="31" t="s">
        <v>101</v>
      </c>
      <c r="C17" s="74" t="s">
        <v>128</v>
      </c>
      <c r="D17" s="75"/>
      <c r="E17" s="75"/>
      <c r="F17" s="75"/>
      <c r="G17" s="75"/>
      <c r="H17" s="75"/>
      <c r="I17" s="75"/>
      <c r="J17" s="75"/>
      <c r="K17" s="75"/>
      <c r="L17" s="75"/>
      <c r="M17" s="75"/>
      <c r="N17" s="75"/>
      <c r="O17" s="75"/>
      <c r="P17" s="76"/>
    </row>
    <row r="18" spans="2:16" ht="60.15" customHeight="1" x14ac:dyDescent="0.3">
      <c r="B18" s="31" t="s">
        <v>103</v>
      </c>
      <c r="C18" s="74" t="s">
        <v>129</v>
      </c>
      <c r="D18" s="75"/>
      <c r="E18" s="75"/>
      <c r="F18" s="75"/>
      <c r="G18" s="75"/>
      <c r="H18" s="75"/>
      <c r="I18" s="75"/>
      <c r="J18" s="75"/>
      <c r="K18" s="75"/>
      <c r="L18" s="75"/>
      <c r="M18" s="75"/>
      <c r="N18" s="75"/>
      <c r="O18" s="75"/>
      <c r="P18" s="76"/>
    </row>
    <row r="19" spans="2:16" ht="32.549999999999997" customHeight="1" x14ac:dyDescent="0.3">
      <c r="B19" s="31" t="s">
        <v>105</v>
      </c>
      <c r="C19" s="74" t="s">
        <v>130</v>
      </c>
      <c r="D19" s="75"/>
      <c r="E19" s="75"/>
      <c r="F19" s="75"/>
      <c r="G19" s="75"/>
      <c r="H19" s="75"/>
      <c r="I19" s="75"/>
      <c r="J19" s="75"/>
      <c r="K19" s="75"/>
      <c r="L19" s="75"/>
      <c r="M19" s="75"/>
      <c r="N19" s="75"/>
      <c r="O19" s="75"/>
      <c r="P19" s="76"/>
    </row>
    <row r="20" spans="2:16" ht="73.95" customHeight="1" x14ac:dyDescent="0.3">
      <c r="B20" s="31" t="s">
        <v>107</v>
      </c>
      <c r="C20" s="74" t="s">
        <v>131</v>
      </c>
      <c r="D20" s="75"/>
      <c r="E20" s="75"/>
      <c r="F20" s="75"/>
      <c r="G20" s="75"/>
      <c r="H20" s="75"/>
      <c r="I20" s="75"/>
      <c r="J20" s="75"/>
      <c r="K20" s="75"/>
      <c r="L20" s="75"/>
      <c r="M20" s="75"/>
      <c r="N20" s="75"/>
      <c r="O20" s="75"/>
      <c r="P20" s="76"/>
    </row>
    <row r="21" spans="2:16" ht="25.95" customHeight="1" x14ac:dyDescent="0.3">
      <c r="B21" s="31" t="s">
        <v>109</v>
      </c>
      <c r="C21" s="36" t="s">
        <v>110</v>
      </c>
      <c r="D21" s="36" t="s">
        <v>111</v>
      </c>
      <c r="E21" s="36" t="s">
        <v>112</v>
      </c>
      <c r="F21" s="36" t="s">
        <v>113</v>
      </c>
      <c r="G21" s="36" t="s">
        <v>114</v>
      </c>
      <c r="H21" s="36" t="s">
        <v>115</v>
      </c>
      <c r="I21" s="36" t="s">
        <v>116</v>
      </c>
      <c r="J21" s="37" t="s">
        <v>117</v>
      </c>
      <c r="K21" s="37" t="s">
        <v>118</v>
      </c>
      <c r="L21" s="37" t="s">
        <v>119</v>
      </c>
      <c r="M21" s="37" t="s">
        <v>120</v>
      </c>
      <c r="N21" s="37" t="s">
        <v>121</v>
      </c>
      <c r="O21" s="38" t="s">
        <v>122</v>
      </c>
      <c r="P21" s="38" t="s">
        <v>123</v>
      </c>
    </row>
    <row r="22" spans="2:16" ht="24" customHeight="1" x14ac:dyDescent="0.3">
      <c r="B22" s="39" t="s">
        <v>132</v>
      </c>
      <c r="C22" s="40">
        <v>1</v>
      </c>
      <c r="D22" s="41">
        <v>0</v>
      </c>
      <c r="E22" s="41">
        <v>0</v>
      </c>
      <c r="F22" s="40">
        <v>1</v>
      </c>
      <c r="G22" s="41">
        <v>0</v>
      </c>
      <c r="H22" s="41">
        <v>0</v>
      </c>
      <c r="I22" s="42">
        <f>SUM(C22:H22)</f>
        <v>2</v>
      </c>
      <c r="J22" s="41">
        <v>7</v>
      </c>
      <c r="K22" s="41">
        <v>5</v>
      </c>
      <c r="L22" s="41">
        <v>4</v>
      </c>
      <c r="M22" s="41">
        <v>8</v>
      </c>
      <c r="N22" s="41">
        <v>4</v>
      </c>
      <c r="O22" s="43">
        <f>SUM(J22:N22)</f>
        <v>28</v>
      </c>
      <c r="P22" s="44" t="str">
        <f>IF(O22="","",IF(O22&gt;=DREAD_Guidelines!$B$13,"CRITICAL",IF(O22&gt;=DREAD_Guidelines!$B$14,"HIGH",IF(O22&gt;=DREAD_Guidelines!$B$15,"MEDIUM","LOW"))))</f>
        <v>MEDIUM</v>
      </c>
    </row>
    <row r="23" spans="2:16" ht="73.95" customHeight="1" x14ac:dyDescent="0.3">
      <c r="B23" s="31" t="s">
        <v>125</v>
      </c>
      <c r="C23" s="74" t="s">
        <v>133</v>
      </c>
      <c r="D23" s="75"/>
      <c r="E23" s="75"/>
      <c r="F23" s="75"/>
      <c r="G23" s="75"/>
      <c r="H23" s="75"/>
      <c r="I23" s="75"/>
      <c r="J23" s="75"/>
      <c r="K23" s="75"/>
      <c r="L23" s="75"/>
      <c r="M23" s="75"/>
      <c r="N23" s="75"/>
      <c r="O23" s="75"/>
      <c r="P23" s="76"/>
    </row>
    <row r="25" spans="2:16" ht="22.05" customHeight="1" x14ac:dyDescent="0.3">
      <c r="B25" s="65" t="s">
        <v>134</v>
      </c>
      <c r="C25" s="66"/>
      <c r="D25" s="66"/>
      <c r="E25" s="66"/>
      <c r="F25" s="66"/>
      <c r="G25" s="66"/>
      <c r="H25" s="66"/>
      <c r="I25" s="66"/>
      <c r="J25" s="66"/>
      <c r="K25" s="66"/>
      <c r="L25" s="66"/>
      <c r="M25" s="66"/>
      <c r="N25" s="66"/>
      <c r="O25" s="66"/>
      <c r="P25" s="66"/>
    </row>
    <row r="26" spans="2:16" ht="32.549999999999997" customHeight="1" x14ac:dyDescent="0.3">
      <c r="B26" s="31" t="s">
        <v>101</v>
      </c>
      <c r="C26" s="74" t="s">
        <v>135</v>
      </c>
      <c r="D26" s="75"/>
      <c r="E26" s="75"/>
      <c r="F26" s="75"/>
      <c r="G26" s="75"/>
      <c r="H26" s="75"/>
      <c r="I26" s="75"/>
      <c r="J26" s="75"/>
      <c r="K26" s="75"/>
      <c r="L26" s="75"/>
      <c r="M26" s="75"/>
      <c r="N26" s="75"/>
      <c r="O26" s="75"/>
      <c r="P26" s="76"/>
    </row>
    <row r="27" spans="2:16" ht="60.15" customHeight="1" x14ac:dyDescent="0.3">
      <c r="B27" s="31" t="s">
        <v>103</v>
      </c>
      <c r="C27" s="74" t="s">
        <v>136</v>
      </c>
      <c r="D27" s="75"/>
      <c r="E27" s="75"/>
      <c r="F27" s="75"/>
      <c r="G27" s="75"/>
      <c r="H27" s="75"/>
      <c r="I27" s="75"/>
      <c r="J27" s="75"/>
      <c r="K27" s="75"/>
      <c r="L27" s="75"/>
      <c r="M27" s="75"/>
      <c r="N27" s="75"/>
      <c r="O27" s="75"/>
      <c r="P27" s="76"/>
    </row>
    <row r="28" spans="2:16" ht="32.549999999999997" customHeight="1" x14ac:dyDescent="0.3">
      <c r="B28" s="31" t="s">
        <v>105</v>
      </c>
      <c r="C28" s="74" t="s">
        <v>137</v>
      </c>
      <c r="D28" s="75"/>
      <c r="E28" s="75"/>
      <c r="F28" s="75"/>
      <c r="G28" s="75"/>
      <c r="H28" s="75"/>
      <c r="I28" s="75"/>
      <c r="J28" s="75"/>
      <c r="K28" s="75"/>
      <c r="L28" s="75"/>
      <c r="M28" s="75"/>
      <c r="N28" s="75"/>
      <c r="O28" s="75"/>
      <c r="P28" s="76"/>
    </row>
    <row r="29" spans="2:16" ht="73.95" customHeight="1" x14ac:dyDescent="0.3">
      <c r="B29" s="31" t="s">
        <v>107</v>
      </c>
      <c r="C29" s="74" t="s">
        <v>138</v>
      </c>
      <c r="D29" s="75"/>
      <c r="E29" s="75"/>
      <c r="F29" s="75"/>
      <c r="G29" s="75"/>
      <c r="H29" s="75"/>
      <c r="I29" s="75"/>
      <c r="J29" s="75"/>
      <c r="K29" s="75"/>
      <c r="L29" s="75"/>
      <c r="M29" s="75"/>
      <c r="N29" s="75"/>
      <c r="O29" s="75"/>
      <c r="P29" s="76"/>
    </row>
    <row r="30" spans="2:16" ht="25.95" customHeight="1" x14ac:dyDescent="0.3">
      <c r="B30" s="31" t="s">
        <v>109</v>
      </c>
      <c r="C30" s="36" t="s">
        <v>110</v>
      </c>
      <c r="D30" s="36" t="s">
        <v>111</v>
      </c>
      <c r="E30" s="36" t="s">
        <v>112</v>
      </c>
      <c r="F30" s="36" t="s">
        <v>113</v>
      </c>
      <c r="G30" s="36" t="s">
        <v>114</v>
      </c>
      <c r="H30" s="36" t="s">
        <v>115</v>
      </c>
      <c r="I30" s="36" t="s">
        <v>116</v>
      </c>
      <c r="J30" s="37" t="s">
        <v>117</v>
      </c>
      <c r="K30" s="37" t="s">
        <v>118</v>
      </c>
      <c r="L30" s="37" t="s">
        <v>119</v>
      </c>
      <c r="M30" s="37" t="s">
        <v>120</v>
      </c>
      <c r="N30" s="37" t="s">
        <v>121</v>
      </c>
      <c r="O30" s="38" t="s">
        <v>122</v>
      </c>
      <c r="P30" s="38" t="s">
        <v>123</v>
      </c>
    </row>
    <row r="31" spans="2:16" ht="24" customHeight="1" x14ac:dyDescent="0.3">
      <c r="B31" s="39" t="s">
        <v>139</v>
      </c>
      <c r="C31" s="41">
        <v>0</v>
      </c>
      <c r="D31" s="41">
        <v>0</v>
      </c>
      <c r="E31" s="40">
        <v>1</v>
      </c>
      <c r="F31" s="41">
        <v>0</v>
      </c>
      <c r="G31" s="41">
        <v>0</v>
      </c>
      <c r="H31" s="41">
        <v>0</v>
      </c>
      <c r="I31" s="42">
        <f>SUM(C31:H31)</f>
        <v>1</v>
      </c>
      <c r="J31" s="41">
        <v>4</v>
      </c>
      <c r="K31" s="41">
        <v>6</v>
      </c>
      <c r="L31" s="41">
        <v>3</v>
      </c>
      <c r="M31" s="41">
        <v>3</v>
      </c>
      <c r="N31" s="41">
        <v>2</v>
      </c>
      <c r="O31" s="43">
        <f>SUM(J31:N31)</f>
        <v>18</v>
      </c>
      <c r="P31" s="44" t="str">
        <f>IF(O31="","",IF(O31&gt;=DREAD_Guidelines!$B$13,"CRITICAL",IF(O31&gt;=DREAD_Guidelines!$B$14,"HIGH",IF(O31&gt;=DREAD_Guidelines!$B$15,"MEDIUM","LOW"))))</f>
        <v>LOW</v>
      </c>
    </row>
    <row r="32" spans="2:16" ht="87.75" customHeight="1" x14ac:dyDescent="0.3">
      <c r="B32" s="31" t="s">
        <v>125</v>
      </c>
      <c r="C32" s="74" t="s">
        <v>140</v>
      </c>
      <c r="D32" s="75"/>
      <c r="E32" s="75"/>
      <c r="F32" s="75"/>
      <c r="G32" s="75"/>
      <c r="H32" s="75"/>
      <c r="I32" s="75"/>
      <c r="J32" s="75"/>
      <c r="K32" s="75"/>
      <c r="L32" s="75"/>
      <c r="M32" s="75"/>
      <c r="N32" s="75"/>
      <c r="O32" s="75"/>
      <c r="P32" s="76"/>
    </row>
    <row r="34" spans="2:16" ht="22.05" customHeight="1" x14ac:dyDescent="0.3">
      <c r="B34" s="68" t="s">
        <v>141</v>
      </c>
      <c r="C34" s="66"/>
      <c r="D34" s="66"/>
      <c r="E34" s="66"/>
      <c r="F34" s="66"/>
      <c r="G34" s="66"/>
      <c r="H34" s="66"/>
      <c r="I34" s="66"/>
      <c r="J34" s="66"/>
      <c r="K34" s="66"/>
      <c r="L34" s="66"/>
      <c r="M34" s="66"/>
      <c r="N34" s="66"/>
      <c r="O34" s="66"/>
      <c r="P34" s="66"/>
    </row>
    <row r="35" spans="2:16" x14ac:dyDescent="0.3">
      <c r="B35" s="45" t="s">
        <v>142</v>
      </c>
      <c r="C35" s="81" t="s">
        <v>143</v>
      </c>
      <c r="D35" s="75"/>
      <c r="E35" s="76"/>
      <c r="F35" s="81" t="s">
        <v>144</v>
      </c>
      <c r="G35" s="75"/>
      <c r="H35" s="76"/>
    </row>
    <row r="36" spans="2:16" x14ac:dyDescent="0.3">
      <c r="B36" s="46" t="s">
        <v>124</v>
      </c>
      <c r="C36" s="79">
        <f>O13</f>
        <v>34</v>
      </c>
      <c r="D36" s="75"/>
      <c r="E36" s="76"/>
      <c r="F36" s="79">
        <f>RANK(C36,$C$36:$C$38,0)</f>
        <v>1</v>
      </c>
      <c r="G36" s="75"/>
      <c r="H36" s="76"/>
    </row>
    <row r="37" spans="2:16" x14ac:dyDescent="0.3">
      <c r="B37" s="46" t="s">
        <v>132</v>
      </c>
      <c r="C37" s="79">
        <f>O22</f>
        <v>28</v>
      </c>
      <c r="D37" s="75"/>
      <c r="E37" s="76"/>
      <c r="F37" s="79">
        <f>RANK(C37,$C$36:$C$38,0)</f>
        <v>2</v>
      </c>
      <c r="G37" s="75"/>
      <c r="H37" s="76"/>
    </row>
    <row r="38" spans="2:16" x14ac:dyDescent="0.3">
      <c r="B38" s="46" t="s">
        <v>139</v>
      </c>
      <c r="C38" s="79">
        <f>O31</f>
        <v>18</v>
      </c>
      <c r="D38" s="75"/>
      <c r="E38" s="76"/>
      <c r="F38" s="79">
        <f>RANK(C38,$C$36:$C$38,0)</f>
        <v>3</v>
      </c>
      <c r="G38" s="75"/>
      <c r="H38" s="76"/>
    </row>
    <row r="39" spans="2:16" ht="32.549999999999997" customHeight="1" x14ac:dyDescent="0.3">
      <c r="B39" s="77" t="s">
        <v>145</v>
      </c>
      <c r="C39" s="66"/>
      <c r="D39" s="66"/>
      <c r="E39" s="66"/>
      <c r="F39" s="66"/>
      <c r="G39" s="66"/>
      <c r="H39" s="66"/>
      <c r="I39" s="66"/>
      <c r="J39" s="66"/>
      <c r="K39" s="66"/>
      <c r="L39" s="66"/>
      <c r="M39" s="66"/>
      <c r="N39" s="66"/>
      <c r="O39" s="66"/>
      <c r="P39" s="66"/>
    </row>
    <row r="41" spans="2:16" ht="22.05" customHeight="1" x14ac:dyDescent="0.3">
      <c r="B41" s="73" t="s">
        <v>146</v>
      </c>
      <c r="C41" s="66"/>
      <c r="D41" s="66"/>
      <c r="E41" s="66"/>
      <c r="F41" s="66"/>
      <c r="G41" s="66"/>
      <c r="H41" s="66"/>
      <c r="I41" s="66"/>
      <c r="J41" s="66"/>
      <c r="K41" s="66"/>
      <c r="L41" s="66"/>
      <c r="M41" s="66"/>
      <c r="N41" s="66"/>
      <c r="O41" s="66"/>
      <c r="P41" s="66"/>
    </row>
    <row r="42" spans="2:16" x14ac:dyDescent="0.3">
      <c r="B42" s="45" t="s">
        <v>147</v>
      </c>
      <c r="C42" s="83" t="s">
        <v>148</v>
      </c>
      <c r="D42" s="75"/>
      <c r="E42" s="75"/>
      <c r="F42" s="76"/>
      <c r="G42" s="82" t="s">
        <v>149</v>
      </c>
      <c r="H42" s="75"/>
      <c r="I42" s="75"/>
      <c r="J42" s="75"/>
      <c r="K42" s="76"/>
      <c r="L42" s="81" t="s">
        <v>150</v>
      </c>
      <c r="M42" s="75"/>
      <c r="N42" s="75"/>
      <c r="O42" s="75"/>
      <c r="P42" s="76"/>
    </row>
    <row r="43" spans="2:16" ht="46.35" customHeight="1" x14ac:dyDescent="0.3">
      <c r="B43" s="31" t="s">
        <v>151</v>
      </c>
      <c r="C43" s="84" t="s">
        <v>152</v>
      </c>
      <c r="D43" s="75"/>
      <c r="E43" s="75"/>
      <c r="F43" s="76"/>
      <c r="G43" s="80" t="s">
        <v>153</v>
      </c>
      <c r="H43" s="75"/>
      <c r="I43" s="75"/>
      <c r="J43" s="75"/>
      <c r="K43" s="76"/>
      <c r="L43" s="74" t="s">
        <v>154</v>
      </c>
      <c r="M43" s="75"/>
      <c r="N43" s="75"/>
      <c r="O43" s="75"/>
      <c r="P43" s="76"/>
    </row>
    <row r="44" spans="2:16" ht="32.549999999999997" customHeight="1" x14ac:dyDescent="0.3">
      <c r="B44" s="31" t="s">
        <v>155</v>
      </c>
      <c r="C44" s="84" t="s">
        <v>156</v>
      </c>
      <c r="D44" s="75"/>
      <c r="E44" s="75"/>
      <c r="F44" s="76"/>
      <c r="G44" s="80" t="s">
        <v>157</v>
      </c>
      <c r="H44" s="75"/>
      <c r="I44" s="75"/>
      <c r="J44" s="75"/>
      <c r="K44" s="76"/>
      <c r="L44" s="74" t="s">
        <v>158</v>
      </c>
      <c r="M44" s="75"/>
      <c r="N44" s="75"/>
      <c r="O44" s="75"/>
      <c r="P44" s="76"/>
    </row>
    <row r="45" spans="2:16" ht="32.549999999999997" customHeight="1" x14ac:dyDescent="0.3">
      <c r="B45" s="31" t="s">
        <v>159</v>
      </c>
      <c r="C45" s="84" t="s">
        <v>160</v>
      </c>
      <c r="D45" s="75"/>
      <c r="E45" s="75"/>
      <c r="F45" s="76"/>
      <c r="G45" s="80" t="s">
        <v>161</v>
      </c>
      <c r="H45" s="75"/>
      <c r="I45" s="75"/>
      <c r="J45" s="75"/>
      <c r="K45" s="76"/>
      <c r="L45" s="74" t="s">
        <v>162</v>
      </c>
      <c r="M45" s="75"/>
      <c r="N45" s="75"/>
      <c r="O45" s="75"/>
      <c r="P45" s="76"/>
    </row>
    <row r="46" spans="2:16" ht="32.549999999999997" customHeight="1" x14ac:dyDescent="0.3">
      <c r="B46" s="31" t="s">
        <v>163</v>
      </c>
      <c r="C46" s="84" t="s">
        <v>164</v>
      </c>
      <c r="D46" s="75"/>
      <c r="E46" s="75"/>
      <c r="F46" s="76"/>
      <c r="G46" s="80" t="s">
        <v>165</v>
      </c>
      <c r="H46" s="75"/>
      <c r="I46" s="75"/>
      <c r="J46" s="75"/>
      <c r="K46" s="76"/>
      <c r="L46" s="74" t="s">
        <v>166</v>
      </c>
      <c r="M46" s="75"/>
      <c r="N46" s="75"/>
      <c r="O46" s="75"/>
      <c r="P46" s="76"/>
    </row>
    <row r="47" spans="2:16" ht="32.549999999999997" customHeight="1" x14ac:dyDescent="0.3">
      <c r="B47" s="31" t="s">
        <v>167</v>
      </c>
      <c r="C47" s="84" t="s">
        <v>168</v>
      </c>
      <c r="D47" s="75"/>
      <c r="E47" s="75"/>
      <c r="F47" s="76"/>
      <c r="G47" s="80" t="s">
        <v>169</v>
      </c>
      <c r="H47" s="75"/>
      <c r="I47" s="75"/>
      <c r="J47" s="75"/>
      <c r="K47" s="76"/>
      <c r="L47" s="74" t="s">
        <v>170</v>
      </c>
      <c r="M47" s="75"/>
      <c r="N47" s="75"/>
      <c r="O47" s="75"/>
      <c r="P47" s="76"/>
    </row>
    <row r="49" spans="2:16" ht="22.05" customHeight="1" x14ac:dyDescent="0.3">
      <c r="B49" s="70" t="s">
        <v>171</v>
      </c>
      <c r="C49" s="66"/>
      <c r="D49" s="66"/>
      <c r="E49" s="66"/>
      <c r="F49" s="66"/>
      <c r="G49" s="66"/>
      <c r="H49" s="66"/>
      <c r="I49" s="66"/>
      <c r="J49" s="66"/>
      <c r="K49" s="66"/>
      <c r="L49" s="66"/>
      <c r="M49" s="66"/>
      <c r="N49" s="66"/>
      <c r="O49" s="66"/>
      <c r="P49" s="66"/>
    </row>
    <row r="50" spans="2:16" ht="18.75" customHeight="1" x14ac:dyDescent="0.3">
      <c r="B50" s="85" t="s">
        <v>172</v>
      </c>
      <c r="C50" s="66"/>
      <c r="D50" s="66"/>
      <c r="E50" s="66"/>
      <c r="F50" s="66"/>
      <c r="G50" s="66"/>
      <c r="H50" s="66"/>
      <c r="I50" s="66"/>
      <c r="J50" s="66"/>
      <c r="K50" s="66"/>
      <c r="L50" s="66"/>
      <c r="M50" s="66"/>
      <c r="N50" s="66"/>
      <c r="O50" s="66"/>
      <c r="P50" s="66"/>
    </row>
    <row r="51" spans="2:16" ht="18.75" customHeight="1" x14ac:dyDescent="0.3">
      <c r="B51" s="85" t="s">
        <v>173</v>
      </c>
      <c r="C51" s="66"/>
      <c r="D51" s="66"/>
      <c r="E51" s="66"/>
      <c r="F51" s="66"/>
      <c r="G51" s="66"/>
      <c r="H51" s="66"/>
      <c r="I51" s="66"/>
      <c r="J51" s="66"/>
      <c r="K51" s="66"/>
      <c r="L51" s="66"/>
      <c r="M51" s="66"/>
      <c r="N51" s="66"/>
      <c r="O51" s="66"/>
      <c r="P51" s="66"/>
    </row>
    <row r="52" spans="2:16" ht="18.75" customHeight="1" x14ac:dyDescent="0.3">
      <c r="B52" s="85" t="s">
        <v>174</v>
      </c>
      <c r="C52" s="66"/>
      <c r="D52" s="66"/>
      <c r="E52" s="66"/>
      <c r="F52" s="66"/>
      <c r="G52" s="66"/>
      <c r="H52" s="66"/>
      <c r="I52" s="66"/>
      <c r="J52" s="66"/>
      <c r="K52" s="66"/>
      <c r="L52" s="66"/>
      <c r="M52" s="66"/>
      <c r="N52" s="66"/>
      <c r="O52" s="66"/>
      <c r="P52" s="66"/>
    </row>
  </sheetData>
  <sheetProtection sheet="1" formatCells="0" formatColumns="0" formatRows="0" sort="0" autoFilter="0"/>
  <mergeCells count="54">
    <mergeCell ref="B52:P52"/>
    <mergeCell ref="B51:P51"/>
    <mergeCell ref="C37:E37"/>
    <mergeCell ref="B5:P5"/>
    <mergeCell ref="B41:P41"/>
    <mergeCell ref="C11:P11"/>
    <mergeCell ref="C27:P27"/>
    <mergeCell ref="L44:P44"/>
    <mergeCell ref="G45:K45"/>
    <mergeCell ref="C47:F47"/>
    <mergeCell ref="B50:P50"/>
    <mergeCell ref="C23:P23"/>
    <mergeCell ref="C44:F44"/>
    <mergeCell ref="B7:P7"/>
    <mergeCell ref="C17:P17"/>
    <mergeCell ref="B25:P25"/>
    <mergeCell ref="C8:P8"/>
    <mergeCell ref="B49:P49"/>
    <mergeCell ref="C42:F42"/>
    <mergeCell ref="F37:H37"/>
    <mergeCell ref="L45:P45"/>
    <mergeCell ref="C38:E38"/>
    <mergeCell ref="C45:F45"/>
    <mergeCell ref="C43:F43"/>
    <mergeCell ref="G47:K47"/>
    <mergeCell ref="C46:F46"/>
    <mergeCell ref="L46:P46"/>
    <mergeCell ref="G44:K44"/>
    <mergeCell ref="G46:K46"/>
    <mergeCell ref="L47:P47"/>
    <mergeCell ref="F38:H38"/>
    <mergeCell ref="L43:P43"/>
    <mergeCell ref="C26:P26"/>
    <mergeCell ref="C36:E36"/>
    <mergeCell ref="B34:P34"/>
    <mergeCell ref="C29:P29"/>
    <mergeCell ref="L42:P42"/>
    <mergeCell ref="C32:P32"/>
    <mergeCell ref="C35:E35"/>
    <mergeCell ref="C28:P28"/>
    <mergeCell ref="C18:P18"/>
    <mergeCell ref="B39:P39"/>
    <mergeCell ref="B2:P2"/>
    <mergeCell ref="F36:H36"/>
    <mergeCell ref="G43:K43"/>
    <mergeCell ref="F35:H35"/>
    <mergeCell ref="G42:K42"/>
    <mergeCell ref="C14:P14"/>
    <mergeCell ref="C20:P20"/>
    <mergeCell ref="C10:P10"/>
    <mergeCell ref="C9:P9"/>
    <mergeCell ref="B16:P16"/>
    <mergeCell ref="B3:P3"/>
    <mergeCell ref="C19:P19"/>
  </mergeCells>
  <conditionalFormatting sqref="P13">
    <cfRule type="cellIs" dxfId="19" priority="1" operator="equal">
      <formula>"CRITICAL"</formula>
    </cfRule>
    <cfRule type="cellIs" dxfId="18" priority="4" operator="equal">
      <formula>"HIGH"</formula>
    </cfRule>
    <cfRule type="cellIs" dxfId="17" priority="7" operator="equal">
      <formula>"MEDIUM"</formula>
    </cfRule>
    <cfRule type="cellIs" dxfId="16" priority="10" operator="equal">
      <formula>"LOW"</formula>
    </cfRule>
  </conditionalFormatting>
  <conditionalFormatting sqref="P22">
    <cfRule type="cellIs" dxfId="15" priority="2" operator="equal">
      <formula>"CRITICAL"</formula>
    </cfRule>
    <cfRule type="cellIs" dxfId="14" priority="5" operator="equal">
      <formula>"HIGH"</formula>
    </cfRule>
    <cfRule type="cellIs" dxfId="13" priority="8" operator="equal">
      <formula>"MEDIUM"</formula>
    </cfRule>
    <cfRule type="cellIs" dxfId="12" priority="11" operator="equal">
      <formula>"LOW"</formula>
    </cfRule>
  </conditionalFormatting>
  <conditionalFormatting sqref="P31">
    <cfRule type="cellIs" dxfId="11" priority="3" operator="equal">
      <formula>"CRITICAL"</formula>
    </cfRule>
    <cfRule type="cellIs" dxfId="10" priority="6" operator="equal">
      <formula>"HIGH"</formula>
    </cfRule>
    <cfRule type="cellIs" dxfId="9" priority="9" operator="equal">
      <formula>"MEDIUM"</formula>
    </cfRule>
    <cfRule type="cellIs" dxfId="8" priority="12" operator="equal">
      <formula>"LOW"</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9000"/>
    <pageSetUpPr fitToPage="1"/>
  </sheetPr>
  <dimension ref="A1:F53"/>
  <sheetViews>
    <sheetView showGridLines="0" tabSelected="1" zoomScaleNormal="100" workbookViewId="0">
      <selection activeCell="A53" sqref="A53:F53"/>
    </sheetView>
  </sheetViews>
  <sheetFormatPr defaultRowHeight="14.4" x14ac:dyDescent="0.3"/>
  <cols>
    <col min="1" max="1" width="12" customWidth="1"/>
    <col min="2" max="2" width="36" customWidth="1"/>
    <col min="3" max="3" width="38" customWidth="1"/>
    <col min="4" max="4" width="36" customWidth="1"/>
    <col min="5" max="5" width="34" customWidth="1"/>
    <col min="6" max="6" width="56" customWidth="1"/>
  </cols>
  <sheetData>
    <row r="1" spans="1:6" ht="30" customHeight="1" x14ac:dyDescent="0.3">
      <c r="A1" s="78" t="s">
        <v>175</v>
      </c>
      <c r="B1" s="66"/>
      <c r="C1" s="66"/>
      <c r="D1" s="66"/>
      <c r="E1" s="66"/>
      <c r="F1" s="66"/>
    </row>
    <row r="2" spans="1:6" ht="30" customHeight="1" x14ac:dyDescent="0.3">
      <c r="A2" s="77" t="s">
        <v>176</v>
      </c>
      <c r="B2" s="66"/>
      <c r="C2" s="66"/>
      <c r="D2" s="66"/>
      <c r="E2" s="66"/>
      <c r="F2" s="66"/>
    </row>
    <row r="4" spans="1:6" ht="22.05" customHeight="1" x14ac:dyDescent="0.3">
      <c r="A4" s="72" t="s">
        <v>177</v>
      </c>
      <c r="B4" s="66"/>
      <c r="C4" s="66"/>
      <c r="D4" s="66"/>
      <c r="E4" s="66"/>
      <c r="F4" s="66"/>
    </row>
    <row r="5" spans="1:6" ht="46.05" customHeight="1" x14ac:dyDescent="0.3">
      <c r="A5" s="48" t="s">
        <v>178</v>
      </c>
      <c r="B5" s="86" t="s">
        <v>179</v>
      </c>
      <c r="C5" s="87"/>
      <c r="D5" s="87"/>
      <c r="E5" s="88"/>
      <c r="F5" s="50" t="s">
        <v>180</v>
      </c>
    </row>
    <row r="6" spans="1:6" ht="46.05" customHeight="1" x14ac:dyDescent="0.3">
      <c r="A6" s="48" t="s">
        <v>3</v>
      </c>
      <c r="B6" s="86" t="s">
        <v>181</v>
      </c>
      <c r="C6" s="87"/>
      <c r="D6" s="87"/>
      <c r="E6" s="88"/>
      <c r="F6" s="50" t="s">
        <v>182</v>
      </c>
    </row>
    <row r="7" spans="1:6" ht="46.05" customHeight="1" x14ac:dyDescent="0.3">
      <c r="A7" s="48" t="s">
        <v>183</v>
      </c>
      <c r="B7" s="86" t="s">
        <v>184</v>
      </c>
      <c r="C7" s="87"/>
      <c r="D7" s="87"/>
      <c r="E7" s="88"/>
      <c r="F7" s="50" t="s">
        <v>185</v>
      </c>
    </row>
    <row r="8" spans="1:6" ht="46.05" customHeight="1" x14ac:dyDescent="0.3">
      <c r="A8" s="48" t="s">
        <v>186</v>
      </c>
      <c r="B8" s="86" t="s">
        <v>187</v>
      </c>
      <c r="C8" s="87"/>
      <c r="D8" s="87"/>
      <c r="E8" s="88"/>
      <c r="F8" s="50" t="s">
        <v>188</v>
      </c>
    </row>
    <row r="9" spans="1:6" ht="46.05" customHeight="1" x14ac:dyDescent="0.3">
      <c r="A9" s="48" t="s">
        <v>189</v>
      </c>
      <c r="B9" s="86" t="s">
        <v>190</v>
      </c>
      <c r="C9" s="87"/>
      <c r="D9" s="87"/>
      <c r="E9" s="88"/>
      <c r="F9" s="50" t="s">
        <v>191</v>
      </c>
    </row>
    <row r="11" spans="1:6" ht="22.05" customHeight="1" x14ac:dyDescent="0.3">
      <c r="A11" s="72" t="s">
        <v>192</v>
      </c>
      <c r="B11" s="66"/>
      <c r="C11" s="66"/>
      <c r="D11" s="66"/>
      <c r="E11" s="66"/>
      <c r="F11" s="66"/>
    </row>
    <row r="12" spans="1:6" ht="28.05" customHeight="1" x14ac:dyDescent="0.3">
      <c r="A12" s="77" t="s">
        <v>193</v>
      </c>
      <c r="B12" s="66"/>
      <c r="C12" s="66"/>
      <c r="D12" s="66"/>
      <c r="E12" s="66"/>
      <c r="F12" s="66"/>
    </row>
    <row r="13" spans="1:6" ht="30" customHeight="1" x14ac:dyDescent="0.3">
      <c r="A13" s="51" t="s">
        <v>194</v>
      </c>
      <c r="B13" s="51" t="s">
        <v>195</v>
      </c>
      <c r="C13" s="51" t="s">
        <v>196</v>
      </c>
      <c r="D13" s="51" t="s">
        <v>197</v>
      </c>
      <c r="E13" s="51" t="s">
        <v>198</v>
      </c>
    </row>
    <row r="14" spans="1:6" ht="43.95" customHeight="1" x14ac:dyDescent="0.3">
      <c r="A14" s="52" t="s">
        <v>199</v>
      </c>
      <c r="B14" s="52" t="s">
        <v>200</v>
      </c>
      <c r="C14" s="52" t="s">
        <v>201</v>
      </c>
      <c r="D14" s="52" t="s">
        <v>202</v>
      </c>
      <c r="E14" s="52" t="s">
        <v>203</v>
      </c>
    </row>
    <row r="15" spans="1:6" ht="40.049999999999997" customHeight="1" x14ac:dyDescent="0.3">
      <c r="A15" s="53" t="s">
        <v>204</v>
      </c>
      <c r="B15" s="49" t="s">
        <v>205</v>
      </c>
      <c r="C15" s="49" t="s">
        <v>206</v>
      </c>
      <c r="D15" s="49" t="s">
        <v>207</v>
      </c>
      <c r="E15" s="49" t="s">
        <v>208</v>
      </c>
    </row>
    <row r="16" spans="1:6" ht="40.049999999999997" customHeight="1" x14ac:dyDescent="0.3">
      <c r="A16" s="53" t="s">
        <v>209</v>
      </c>
      <c r="B16" s="49" t="s">
        <v>210</v>
      </c>
      <c r="C16" s="49" t="s">
        <v>211</v>
      </c>
      <c r="D16" s="49" t="s">
        <v>212</v>
      </c>
      <c r="E16" s="49" t="s">
        <v>213</v>
      </c>
    </row>
    <row r="17" spans="1:6" ht="40.049999999999997" customHeight="1" x14ac:dyDescent="0.3">
      <c r="A17" s="53" t="s">
        <v>214</v>
      </c>
      <c r="B17" s="49" t="s">
        <v>215</v>
      </c>
      <c r="C17" s="49" t="s">
        <v>216</v>
      </c>
      <c r="D17" s="49" t="s">
        <v>217</v>
      </c>
      <c r="E17" s="49" t="s">
        <v>218</v>
      </c>
    </row>
    <row r="18" spans="1:6" ht="40.049999999999997" customHeight="1" x14ac:dyDescent="0.3">
      <c r="A18" s="53" t="s">
        <v>219</v>
      </c>
      <c r="B18" s="49" t="s">
        <v>220</v>
      </c>
      <c r="C18" s="49" t="s">
        <v>221</v>
      </c>
      <c r="D18" s="49" t="s">
        <v>222</v>
      </c>
      <c r="E18" s="49" t="s">
        <v>223</v>
      </c>
    </row>
    <row r="19" spans="1:6" ht="40.049999999999997" customHeight="1" x14ac:dyDescent="0.3">
      <c r="A19" s="53" t="s">
        <v>224</v>
      </c>
      <c r="B19" s="49" t="s">
        <v>225</v>
      </c>
      <c r="C19" s="49" t="s">
        <v>226</v>
      </c>
      <c r="D19" s="49" t="s">
        <v>227</v>
      </c>
      <c r="E19" s="49" t="s">
        <v>228</v>
      </c>
    </row>
    <row r="20" spans="1:6" ht="40.049999999999997" customHeight="1" x14ac:dyDescent="0.3">
      <c r="A20" s="53" t="s">
        <v>229</v>
      </c>
      <c r="B20" s="49" t="s">
        <v>230</v>
      </c>
      <c r="C20" s="49" t="s">
        <v>231</v>
      </c>
      <c r="D20" s="49" t="s">
        <v>232</v>
      </c>
      <c r="E20" s="49" t="s">
        <v>233</v>
      </c>
    </row>
    <row r="21" spans="1:6" ht="40.049999999999997" customHeight="1" x14ac:dyDescent="0.3">
      <c r="A21" s="53" t="s">
        <v>234</v>
      </c>
      <c r="B21" s="49" t="s">
        <v>235</v>
      </c>
      <c r="C21" s="49" t="s">
        <v>236</v>
      </c>
      <c r="D21" s="49" t="s">
        <v>237</v>
      </c>
      <c r="E21" s="49" t="s">
        <v>238</v>
      </c>
    </row>
    <row r="22" spans="1:6" ht="40.049999999999997" customHeight="1" x14ac:dyDescent="0.3">
      <c r="A22" s="53" t="s">
        <v>239</v>
      </c>
      <c r="B22" s="49" t="s">
        <v>240</v>
      </c>
      <c r="C22" s="49" t="s">
        <v>241</v>
      </c>
      <c r="D22" s="49" t="s">
        <v>242</v>
      </c>
      <c r="E22" s="49" t="s">
        <v>243</v>
      </c>
    </row>
    <row r="23" spans="1:6" ht="40.049999999999997" customHeight="1" x14ac:dyDescent="0.3">
      <c r="A23" s="53" t="s">
        <v>244</v>
      </c>
      <c r="B23" s="49" t="s">
        <v>245</v>
      </c>
      <c r="C23" s="49" t="s">
        <v>246</v>
      </c>
      <c r="D23" s="49" t="s">
        <v>247</v>
      </c>
      <c r="E23" s="49" t="s">
        <v>248</v>
      </c>
    </row>
    <row r="24" spans="1:6" ht="40.049999999999997" customHeight="1" x14ac:dyDescent="0.3">
      <c r="A24" s="53" t="s">
        <v>249</v>
      </c>
      <c r="B24" s="49" t="s">
        <v>250</v>
      </c>
      <c r="C24" s="49" t="s">
        <v>251</v>
      </c>
      <c r="D24" s="49" t="s">
        <v>252</v>
      </c>
      <c r="E24" s="49" t="s">
        <v>253</v>
      </c>
    </row>
    <row r="26" spans="1:6" ht="22.05" customHeight="1" x14ac:dyDescent="0.3">
      <c r="A26" s="72" t="s">
        <v>254</v>
      </c>
      <c r="B26" s="66"/>
      <c r="C26" s="66"/>
      <c r="D26" s="66"/>
      <c r="E26" s="66"/>
      <c r="F26" s="66"/>
    </row>
    <row r="27" spans="1:6" ht="28.05" customHeight="1" x14ac:dyDescent="0.3">
      <c r="A27" s="77" t="s">
        <v>255</v>
      </c>
      <c r="B27" s="66"/>
      <c r="C27" s="66"/>
      <c r="D27" s="66"/>
      <c r="E27" s="66"/>
      <c r="F27" s="66"/>
    </row>
    <row r="28" spans="1:6" ht="30" customHeight="1" x14ac:dyDescent="0.3">
      <c r="A28" s="51" t="s">
        <v>194</v>
      </c>
      <c r="B28" s="51" t="s">
        <v>256</v>
      </c>
      <c r="C28" s="51" t="s">
        <v>257</v>
      </c>
      <c r="D28" s="51" t="s">
        <v>258</v>
      </c>
      <c r="E28" s="51" t="s">
        <v>259</v>
      </c>
    </row>
    <row r="29" spans="1:6" ht="43.95" customHeight="1" x14ac:dyDescent="0.3">
      <c r="A29" s="52" t="s">
        <v>199</v>
      </c>
      <c r="B29" s="52" t="s">
        <v>260</v>
      </c>
      <c r="C29" s="52" t="s">
        <v>261</v>
      </c>
      <c r="D29" s="52" t="s">
        <v>262</v>
      </c>
      <c r="E29" s="52" t="s">
        <v>263</v>
      </c>
    </row>
    <row r="30" spans="1:6" ht="40.049999999999997" customHeight="1" x14ac:dyDescent="0.3">
      <c r="A30" s="53" t="s">
        <v>264</v>
      </c>
      <c r="B30" s="49" t="s">
        <v>265</v>
      </c>
      <c r="C30" s="49" t="s">
        <v>266</v>
      </c>
      <c r="D30" s="49" t="s">
        <v>267</v>
      </c>
      <c r="E30" s="49" t="s">
        <v>268</v>
      </c>
    </row>
    <row r="31" spans="1:6" ht="40.049999999999997" customHeight="1" x14ac:dyDescent="0.3">
      <c r="A31" s="53" t="s">
        <v>269</v>
      </c>
      <c r="B31" s="49" t="s">
        <v>270</v>
      </c>
      <c r="C31" s="49" t="s">
        <v>271</v>
      </c>
      <c r="D31" s="49" t="s">
        <v>272</v>
      </c>
      <c r="E31" s="49" t="s">
        <v>268</v>
      </c>
    </row>
    <row r="32" spans="1:6" ht="40.049999999999997" customHeight="1" x14ac:dyDescent="0.3">
      <c r="A32" s="53" t="s">
        <v>273</v>
      </c>
      <c r="B32" s="49" t="s">
        <v>274</v>
      </c>
      <c r="C32" s="49" t="s">
        <v>275</v>
      </c>
      <c r="D32" s="49" t="s">
        <v>276</v>
      </c>
      <c r="E32" s="49" t="s">
        <v>268</v>
      </c>
    </row>
    <row r="33" spans="1:6" ht="40.049999999999997" customHeight="1" x14ac:dyDescent="0.3">
      <c r="A33" s="53" t="s">
        <v>277</v>
      </c>
      <c r="B33" s="49" t="s">
        <v>278</v>
      </c>
      <c r="C33" s="49" t="s">
        <v>279</v>
      </c>
      <c r="D33" s="49" t="s">
        <v>280</v>
      </c>
      <c r="E33" s="49" t="s">
        <v>268</v>
      </c>
    </row>
    <row r="34" spans="1:6" ht="40.049999999999997" customHeight="1" x14ac:dyDescent="0.3">
      <c r="A34" s="53" t="s">
        <v>281</v>
      </c>
      <c r="B34" s="49" t="s">
        <v>282</v>
      </c>
      <c r="C34" s="49" t="s">
        <v>283</v>
      </c>
      <c r="D34" s="49" t="s">
        <v>284</v>
      </c>
      <c r="E34" s="49" t="s">
        <v>285</v>
      </c>
    </row>
    <row r="35" spans="1:6" ht="40.049999999999997" customHeight="1" x14ac:dyDescent="0.3">
      <c r="A35" s="53" t="s">
        <v>286</v>
      </c>
      <c r="B35" s="49" t="s">
        <v>287</v>
      </c>
      <c r="C35" s="49" t="s">
        <v>288</v>
      </c>
      <c r="D35" s="49" t="s">
        <v>289</v>
      </c>
      <c r="E35" s="49" t="s">
        <v>268</v>
      </c>
    </row>
    <row r="36" spans="1:6" ht="40.049999999999997" customHeight="1" x14ac:dyDescent="0.3">
      <c r="A36" s="53" t="s">
        <v>290</v>
      </c>
      <c r="B36" s="49" t="s">
        <v>291</v>
      </c>
      <c r="C36" s="49" t="s">
        <v>292</v>
      </c>
      <c r="D36" s="49" t="s">
        <v>276</v>
      </c>
      <c r="E36" s="49" t="s">
        <v>268</v>
      </c>
    </row>
    <row r="37" spans="1:6" ht="40.049999999999997" customHeight="1" x14ac:dyDescent="0.3">
      <c r="A37" s="53" t="s">
        <v>293</v>
      </c>
      <c r="B37" s="49" t="s">
        <v>294</v>
      </c>
      <c r="C37" s="49" t="s">
        <v>295</v>
      </c>
      <c r="D37" s="49" t="s">
        <v>296</v>
      </c>
      <c r="E37" s="49" t="s">
        <v>297</v>
      </c>
    </row>
    <row r="38" spans="1:6" ht="40.049999999999997" customHeight="1" x14ac:dyDescent="0.3">
      <c r="A38" s="53" t="s">
        <v>298</v>
      </c>
      <c r="B38" s="49" t="s">
        <v>299</v>
      </c>
      <c r="C38" s="49" t="s">
        <v>300</v>
      </c>
      <c r="D38" s="49" t="s">
        <v>301</v>
      </c>
      <c r="E38" s="49" t="s">
        <v>302</v>
      </c>
    </row>
    <row r="39" spans="1:6" ht="40.049999999999997" customHeight="1" x14ac:dyDescent="0.3">
      <c r="A39" s="53" t="s">
        <v>303</v>
      </c>
      <c r="B39" s="49" t="s">
        <v>304</v>
      </c>
      <c r="C39" s="49" t="s">
        <v>305</v>
      </c>
      <c r="D39" s="49" t="s">
        <v>306</v>
      </c>
      <c r="E39" s="49" t="s">
        <v>302</v>
      </c>
    </row>
    <row r="41" spans="1:6" ht="22.05" customHeight="1" x14ac:dyDescent="0.3">
      <c r="A41" s="72" t="s">
        <v>307</v>
      </c>
      <c r="B41" s="66"/>
      <c r="C41" s="66"/>
      <c r="D41" s="66"/>
      <c r="E41" s="66"/>
      <c r="F41" s="66"/>
    </row>
    <row r="42" spans="1:6" ht="28.05" customHeight="1" x14ac:dyDescent="0.3">
      <c r="A42" s="77" t="s">
        <v>308</v>
      </c>
      <c r="B42" s="66"/>
      <c r="C42" s="66"/>
      <c r="D42" s="66"/>
      <c r="E42" s="66"/>
      <c r="F42" s="66"/>
    </row>
    <row r="43" spans="1:6" ht="25.95" customHeight="1" x14ac:dyDescent="0.3">
      <c r="A43" s="51" t="s">
        <v>194</v>
      </c>
      <c r="B43" s="51" t="s">
        <v>309</v>
      </c>
      <c r="C43" s="90" t="s">
        <v>310</v>
      </c>
      <c r="D43" s="75"/>
      <c r="E43" s="76"/>
    </row>
    <row r="44" spans="1:6" ht="31.95" customHeight="1" x14ac:dyDescent="0.3">
      <c r="A44" s="52" t="s">
        <v>199</v>
      </c>
      <c r="B44" s="52" t="s">
        <v>311</v>
      </c>
      <c r="C44" s="89" t="s">
        <v>312</v>
      </c>
      <c r="D44" s="75"/>
      <c r="E44" s="76"/>
    </row>
    <row r="45" spans="1:6" ht="34.049999999999997" customHeight="1" x14ac:dyDescent="0.3">
      <c r="A45" s="53" t="s">
        <v>313</v>
      </c>
      <c r="B45" s="49" t="s">
        <v>314</v>
      </c>
      <c r="C45" s="86" t="s">
        <v>315</v>
      </c>
      <c r="D45" s="87"/>
      <c r="E45" s="88"/>
    </row>
    <row r="46" spans="1:6" ht="34.049999999999997" customHeight="1" x14ac:dyDescent="0.3">
      <c r="A46" s="53" t="s">
        <v>316</v>
      </c>
      <c r="B46" s="49" t="s">
        <v>317</v>
      </c>
      <c r="C46" s="86" t="s">
        <v>318</v>
      </c>
      <c r="D46" s="87"/>
      <c r="E46" s="88"/>
    </row>
    <row r="47" spans="1:6" ht="34.049999999999997" customHeight="1" x14ac:dyDescent="0.3">
      <c r="A47" s="53" t="s">
        <v>319</v>
      </c>
      <c r="B47" s="49" t="s">
        <v>320</v>
      </c>
      <c r="C47" s="86" t="s">
        <v>321</v>
      </c>
      <c r="D47" s="87"/>
      <c r="E47" s="88"/>
    </row>
    <row r="48" spans="1:6" ht="34.049999999999997" customHeight="1" x14ac:dyDescent="0.3">
      <c r="A48" s="53" t="s">
        <v>322</v>
      </c>
      <c r="B48" s="49" t="s">
        <v>323</v>
      </c>
      <c r="C48" s="86" t="s">
        <v>324</v>
      </c>
      <c r="D48" s="87"/>
      <c r="E48" s="88"/>
    </row>
    <row r="49" spans="1:6" ht="34.049999999999997" customHeight="1" x14ac:dyDescent="0.3">
      <c r="A49" s="53" t="s">
        <v>325</v>
      </c>
      <c r="B49" s="49" t="s">
        <v>326</v>
      </c>
      <c r="C49" s="86" t="s">
        <v>327</v>
      </c>
      <c r="D49" s="87"/>
      <c r="E49" s="88"/>
    </row>
    <row r="51" spans="1:6" ht="22.05" customHeight="1" x14ac:dyDescent="0.3">
      <c r="A51" s="72" t="s">
        <v>328</v>
      </c>
      <c r="B51" s="66"/>
      <c r="C51" s="66"/>
      <c r="D51" s="66"/>
      <c r="E51" s="66"/>
      <c r="F51" s="66"/>
    </row>
    <row r="52" spans="1:6" ht="42" customHeight="1" x14ac:dyDescent="0.3">
      <c r="A52" s="77" t="s">
        <v>329</v>
      </c>
      <c r="B52" s="66"/>
      <c r="C52" s="66"/>
      <c r="D52" s="66"/>
      <c r="E52" s="66"/>
      <c r="F52" s="66"/>
    </row>
    <row r="53" spans="1:6" ht="229.95" customHeight="1" x14ac:dyDescent="0.3">
      <c r="A53" s="91" t="s">
        <v>330</v>
      </c>
      <c r="B53" s="87"/>
      <c r="C53" s="87"/>
      <c r="D53" s="87"/>
      <c r="E53" s="87"/>
      <c r="F53" s="88"/>
    </row>
  </sheetData>
  <sheetProtection sheet="1" formatCells="0" formatColumns="0" formatRows="0" sort="0" autoFilter="0"/>
  <mergeCells count="24">
    <mergeCell ref="A1:F1"/>
    <mergeCell ref="C47:E47"/>
    <mergeCell ref="C48:E48"/>
    <mergeCell ref="A4:F4"/>
    <mergeCell ref="A53:F53"/>
    <mergeCell ref="A52:F52"/>
    <mergeCell ref="C49:E49"/>
    <mergeCell ref="A11:F11"/>
    <mergeCell ref="A51:F51"/>
    <mergeCell ref="B8:E8"/>
    <mergeCell ref="C45:E45"/>
    <mergeCell ref="B5:E5"/>
    <mergeCell ref="A26:F26"/>
    <mergeCell ref="C43:E43"/>
    <mergeCell ref="C46:E46"/>
    <mergeCell ref="A2:F2"/>
    <mergeCell ref="A42:F42"/>
    <mergeCell ref="B7:E7"/>
    <mergeCell ref="A41:F41"/>
    <mergeCell ref="B9:E9"/>
    <mergeCell ref="C44:E44"/>
    <mergeCell ref="B6:E6"/>
    <mergeCell ref="A27:F27"/>
    <mergeCell ref="A12:F12"/>
  </mergeCells>
  <pageMargins left="0.75" right="0.75" top="1" bottom="1" header="0.5" footer="0.5"/>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U44"/>
  <sheetViews>
    <sheetView showGridLines="0" zoomScaleNormal="100" workbookViewId="0">
      <pane xSplit="3" ySplit="4" topLeftCell="D5" activePane="bottomRight" state="frozen"/>
      <selection pane="topRight" activeCell="D1" sqref="D1"/>
      <selection pane="bottomLeft" activeCell="A5" sqref="A5"/>
      <selection pane="bottomRight" activeCell="B5" sqref="B5"/>
    </sheetView>
  </sheetViews>
  <sheetFormatPr defaultColWidth="8.6640625" defaultRowHeight="14.4" x14ac:dyDescent="0.3"/>
  <cols>
    <col min="1" max="1" width="5" customWidth="1"/>
    <col min="2" max="2" width="12" customWidth="1"/>
    <col min="3" max="3" width="60" customWidth="1"/>
    <col min="4" max="4" width="10" customWidth="1"/>
    <col min="5" max="5" width="11" customWidth="1"/>
    <col min="6" max="6" width="12" customWidth="1"/>
    <col min="7" max="8" width="13" customWidth="1"/>
    <col min="9" max="9" width="14" customWidth="1"/>
    <col min="10" max="10" width="9" customWidth="1"/>
    <col min="11" max="11" width="10" customWidth="1"/>
    <col min="12" max="12" width="15" customWidth="1"/>
    <col min="13" max="13" width="14" customWidth="1"/>
    <col min="14" max="15" width="15" customWidth="1"/>
    <col min="16" max="18" width="13" customWidth="1"/>
    <col min="19" max="19" width="62" customWidth="1"/>
    <col min="20" max="20" width="40" customWidth="1"/>
    <col min="21" max="21" width="46" customWidth="1"/>
  </cols>
  <sheetData>
    <row r="1" spans="1:21" ht="33.75" customHeight="1" x14ac:dyDescent="0.3">
      <c r="A1" s="98" t="s">
        <v>0</v>
      </c>
      <c r="B1" s="66"/>
      <c r="C1" s="66"/>
      <c r="D1" s="66"/>
      <c r="E1" s="66"/>
      <c r="F1" s="66"/>
      <c r="G1" s="66"/>
      <c r="H1" s="66"/>
      <c r="I1" s="66"/>
      <c r="J1" s="66"/>
      <c r="K1" s="66"/>
      <c r="L1" s="66"/>
      <c r="M1" s="66"/>
      <c r="N1" s="66"/>
      <c r="O1" s="66"/>
      <c r="P1" s="66"/>
      <c r="Q1" s="66"/>
      <c r="R1" s="66"/>
      <c r="S1" s="66"/>
      <c r="T1" s="66"/>
      <c r="U1" s="66"/>
    </row>
    <row r="2" spans="1:21" ht="30" customHeight="1" x14ac:dyDescent="0.3">
      <c r="A2" s="95" t="s">
        <v>331</v>
      </c>
      <c r="B2" s="66"/>
      <c r="C2" s="66"/>
      <c r="D2" s="66"/>
      <c r="E2" s="66"/>
      <c r="F2" s="66"/>
      <c r="G2" s="66"/>
      <c r="H2" s="66"/>
      <c r="I2" s="66"/>
      <c r="J2" s="66"/>
      <c r="K2" s="66"/>
      <c r="L2" s="66"/>
      <c r="M2" s="66"/>
      <c r="N2" s="66"/>
      <c r="O2" s="66"/>
      <c r="P2" s="66"/>
      <c r="Q2" s="66"/>
      <c r="R2" s="66"/>
      <c r="S2" s="66"/>
      <c r="T2" s="66"/>
      <c r="U2" s="66"/>
    </row>
    <row r="3" spans="1:21" ht="15" customHeight="1" x14ac:dyDescent="0.3">
      <c r="A3" s="97" t="s">
        <v>332</v>
      </c>
      <c r="B3" s="93"/>
      <c r="C3" s="94"/>
      <c r="D3" s="96" t="s">
        <v>333</v>
      </c>
      <c r="E3" s="93"/>
      <c r="F3" s="93"/>
      <c r="G3" s="93"/>
      <c r="H3" s="93"/>
      <c r="I3" s="93"/>
      <c r="J3" s="94"/>
      <c r="K3" s="92" t="s">
        <v>334</v>
      </c>
      <c r="L3" s="93"/>
      <c r="M3" s="93"/>
      <c r="N3" s="93"/>
      <c r="O3" s="94"/>
      <c r="P3" s="99" t="s">
        <v>335</v>
      </c>
      <c r="Q3" s="93"/>
      <c r="R3" s="94"/>
      <c r="S3" s="97" t="s">
        <v>336</v>
      </c>
      <c r="T3" s="93"/>
      <c r="U3" s="94"/>
    </row>
    <row r="4" spans="1:21" ht="48" customHeight="1" x14ac:dyDescent="0.3">
      <c r="A4" s="6" t="s">
        <v>337</v>
      </c>
      <c r="B4" s="6" t="s">
        <v>338</v>
      </c>
      <c r="C4" s="6" t="s">
        <v>151</v>
      </c>
      <c r="D4" s="7" t="s">
        <v>339</v>
      </c>
      <c r="E4" s="7" t="s">
        <v>340</v>
      </c>
      <c r="F4" s="7" t="s">
        <v>341</v>
      </c>
      <c r="G4" s="7" t="s">
        <v>342</v>
      </c>
      <c r="H4" s="7" t="s">
        <v>343</v>
      </c>
      <c r="I4" s="7" t="s">
        <v>344</v>
      </c>
      <c r="J4" s="7" t="s">
        <v>345</v>
      </c>
      <c r="K4" s="8" t="s">
        <v>346</v>
      </c>
      <c r="L4" s="8" t="s">
        <v>347</v>
      </c>
      <c r="M4" s="8" t="s">
        <v>348</v>
      </c>
      <c r="N4" s="8" t="s">
        <v>349</v>
      </c>
      <c r="O4" s="8" t="s">
        <v>350</v>
      </c>
      <c r="P4" s="9" t="s">
        <v>351</v>
      </c>
      <c r="Q4" s="9" t="s">
        <v>352</v>
      </c>
      <c r="R4" s="9" t="s">
        <v>353</v>
      </c>
      <c r="S4" s="6" t="s">
        <v>354</v>
      </c>
      <c r="T4" s="6" t="s">
        <v>355</v>
      </c>
      <c r="U4" s="6" t="s">
        <v>356</v>
      </c>
    </row>
    <row r="5" spans="1:21" ht="55.95" customHeight="1" x14ac:dyDescent="0.3">
      <c r="A5" s="10">
        <v>1</v>
      </c>
      <c r="B5" s="54" t="s">
        <v>357</v>
      </c>
      <c r="C5" s="55" t="s">
        <v>358</v>
      </c>
      <c r="D5" s="56">
        <v>0</v>
      </c>
      <c r="E5" s="56">
        <v>1</v>
      </c>
      <c r="F5" s="56">
        <v>0</v>
      </c>
      <c r="G5" s="56">
        <v>0</v>
      </c>
      <c r="H5" s="56">
        <v>0</v>
      </c>
      <c r="I5" s="56">
        <v>1</v>
      </c>
      <c r="J5" s="10">
        <f t="shared" ref="J5:J44" si="0">IF(COUNT(D5:I5)=0,"",SUM(D5:I5))</f>
        <v>2</v>
      </c>
      <c r="K5" s="56">
        <v>8</v>
      </c>
      <c r="L5" s="56">
        <v>9</v>
      </c>
      <c r="M5" s="56">
        <v>8</v>
      </c>
      <c r="N5" s="56">
        <v>8</v>
      </c>
      <c r="O5" s="56">
        <v>7</v>
      </c>
      <c r="P5" s="10">
        <f t="shared" ref="P5:P44" si="1">IF(COUNT(K5:O5)=5,SUM(K5:O5),"")</f>
        <v>40</v>
      </c>
      <c r="Q5" s="10" t="str">
        <f>IF(P5="","",IF(P5&gt;=DREAD_Guidelines!$B$13,"CRITICAL",IF(P5&gt;=DREAD_Guidelines!$B$14,"HIGH",IF(P5&gt;=DREAD_Guidelines!$B$15,"MEDIUM","LOW"))))</f>
        <v>CRITICAL</v>
      </c>
      <c r="R5" s="10">
        <f t="shared" ref="R5:R44" si="2">IF(P5="","",RANK(P5,$P$5:$P$44,0))</f>
        <v>1</v>
      </c>
      <c r="S5" s="55" t="s">
        <v>359</v>
      </c>
      <c r="T5" s="55" t="s">
        <v>360</v>
      </c>
      <c r="U5" s="55" t="s">
        <v>361</v>
      </c>
    </row>
    <row r="6" spans="1:21" ht="55.95" customHeight="1" x14ac:dyDescent="0.3">
      <c r="A6" s="10">
        <v>2</v>
      </c>
      <c r="B6" s="54" t="s">
        <v>362</v>
      </c>
      <c r="C6" s="55" t="s">
        <v>363</v>
      </c>
      <c r="D6" s="56">
        <v>0</v>
      </c>
      <c r="E6" s="56">
        <v>0</v>
      </c>
      <c r="F6" s="56">
        <v>0</v>
      </c>
      <c r="G6" s="56">
        <v>0</v>
      </c>
      <c r="H6" s="56">
        <v>1</v>
      </c>
      <c r="I6" s="56">
        <v>0</v>
      </c>
      <c r="J6" s="10">
        <f t="shared" si="0"/>
        <v>1</v>
      </c>
      <c r="K6" s="56">
        <v>7</v>
      </c>
      <c r="L6" s="56">
        <v>9</v>
      </c>
      <c r="M6" s="56">
        <v>9</v>
      </c>
      <c r="N6" s="56">
        <v>8</v>
      </c>
      <c r="O6" s="56">
        <v>7</v>
      </c>
      <c r="P6" s="10">
        <f t="shared" si="1"/>
        <v>40</v>
      </c>
      <c r="Q6" s="10" t="str">
        <f>IF(P6="","",IF(P6&gt;=DREAD_Guidelines!$B$13,"CRITICAL",IF(P6&gt;=DREAD_Guidelines!$B$14,"HIGH",IF(P6&gt;=DREAD_Guidelines!$B$15,"MEDIUM","LOW"))))</f>
        <v>CRITICAL</v>
      </c>
      <c r="R6" s="10">
        <f t="shared" si="2"/>
        <v>1</v>
      </c>
      <c r="S6" s="55" t="s">
        <v>364</v>
      </c>
      <c r="T6" s="55" t="s">
        <v>365</v>
      </c>
      <c r="U6" s="55" t="s">
        <v>366</v>
      </c>
    </row>
    <row r="7" spans="1:21" ht="55.95" customHeight="1" x14ac:dyDescent="0.3">
      <c r="A7" s="10">
        <v>3</v>
      </c>
      <c r="B7" s="54" t="s">
        <v>367</v>
      </c>
      <c r="C7" s="55" t="s">
        <v>368</v>
      </c>
      <c r="D7" s="56">
        <v>1</v>
      </c>
      <c r="E7" s="56">
        <v>1</v>
      </c>
      <c r="F7" s="56">
        <v>0</v>
      </c>
      <c r="G7" s="56">
        <v>0</v>
      </c>
      <c r="H7" s="56">
        <v>0</v>
      </c>
      <c r="I7" s="56">
        <v>0</v>
      </c>
      <c r="J7" s="10">
        <f t="shared" si="0"/>
        <v>2</v>
      </c>
      <c r="K7" s="56">
        <v>9</v>
      </c>
      <c r="L7" s="56">
        <v>8</v>
      </c>
      <c r="M7" s="56">
        <v>7</v>
      </c>
      <c r="N7" s="56">
        <v>8</v>
      </c>
      <c r="O7" s="56">
        <v>7</v>
      </c>
      <c r="P7" s="10">
        <f t="shared" si="1"/>
        <v>39</v>
      </c>
      <c r="Q7" s="10" t="str">
        <f>IF(P7="","",IF(P7&gt;=DREAD_Guidelines!$B$13,"CRITICAL",IF(P7&gt;=DREAD_Guidelines!$B$14,"HIGH",IF(P7&gt;=DREAD_Guidelines!$B$15,"MEDIUM","LOW"))))</f>
        <v>HIGH</v>
      </c>
      <c r="R7" s="10">
        <f t="shared" si="2"/>
        <v>3</v>
      </c>
      <c r="S7" s="55" t="s">
        <v>369</v>
      </c>
      <c r="T7" s="55" t="s">
        <v>370</v>
      </c>
      <c r="U7" s="55" t="s">
        <v>371</v>
      </c>
    </row>
    <row r="8" spans="1:21" ht="55.95" customHeight="1" x14ac:dyDescent="0.3">
      <c r="A8" s="10">
        <v>4</v>
      </c>
      <c r="B8" s="54" t="s">
        <v>372</v>
      </c>
      <c r="C8" s="55" t="s">
        <v>373</v>
      </c>
      <c r="D8" s="56">
        <v>0</v>
      </c>
      <c r="E8" s="56">
        <v>0</v>
      </c>
      <c r="F8" s="56">
        <v>0</v>
      </c>
      <c r="G8" s="56">
        <v>0</v>
      </c>
      <c r="H8" s="56">
        <v>1</v>
      </c>
      <c r="I8" s="56">
        <v>0</v>
      </c>
      <c r="J8" s="10">
        <f t="shared" si="0"/>
        <v>1</v>
      </c>
      <c r="K8" s="56">
        <v>7</v>
      </c>
      <c r="L8" s="56">
        <v>8</v>
      </c>
      <c r="M8" s="56">
        <v>8</v>
      </c>
      <c r="N8" s="56">
        <v>8</v>
      </c>
      <c r="O8" s="56">
        <v>7</v>
      </c>
      <c r="P8" s="10">
        <f t="shared" si="1"/>
        <v>38</v>
      </c>
      <c r="Q8" s="10" t="str">
        <f>IF(P8="","",IF(P8&gt;=DREAD_Guidelines!$B$13,"CRITICAL",IF(P8&gt;=DREAD_Guidelines!$B$14,"HIGH",IF(P8&gt;=DREAD_Guidelines!$B$15,"MEDIUM","LOW"))))</f>
        <v>HIGH</v>
      </c>
      <c r="R8" s="10">
        <f t="shared" si="2"/>
        <v>4</v>
      </c>
      <c r="S8" s="55" t="s">
        <v>374</v>
      </c>
      <c r="T8" s="55" t="s">
        <v>375</v>
      </c>
      <c r="U8" s="55" t="s">
        <v>376</v>
      </c>
    </row>
    <row r="9" spans="1:21" ht="55.95" customHeight="1" x14ac:dyDescent="0.3">
      <c r="A9" s="10">
        <v>5</v>
      </c>
      <c r="B9" s="54" t="s">
        <v>377</v>
      </c>
      <c r="C9" s="55" t="s">
        <v>378</v>
      </c>
      <c r="D9" s="56">
        <v>0</v>
      </c>
      <c r="E9" s="56">
        <v>1</v>
      </c>
      <c r="F9" s="56">
        <v>0</v>
      </c>
      <c r="G9" s="56">
        <v>1</v>
      </c>
      <c r="H9" s="56">
        <v>0</v>
      </c>
      <c r="I9" s="56">
        <v>0</v>
      </c>
      <c r="J9" s="10">
        <f t="shared" si="0"/>
        <v>2</v>
      </c>
      <c r="K9" s="56">
        <v>7</v>
      </c>
      <c r="L9" s="56">
        <v>8</v>
      </c>
      <c r="M9" s="56">
        <v>7</v>
      </c>
      <c r="N9" s="56">
        <v>8</v>
      </c>
      <c r="O9" s="56">
        <v>7</v>
      </c>
      <c r="P9" s="10">
        <f t="shared" si="1"/>
        <v>37</v>
      </c>
      <c r="Q9" s="10" t="str">
        <f>IF(P9="","",IF(P9&gt;=DREAD_Guidelines!$B$13,"CRITICAL",IF(P9&gt;=DREAD_Guidelines!$B$14,"HIGH",IF(P9&gt;=DREAD_Guidelines!$B$15,"MEDIUM","LOW"))))</f>
        <v>HIGH</v>
      </c>
      <c r="R9" s="10">
        <f t="shared" si="2"/>
        <v>5</v>
      </c>
      <c r="S9" s="55" t="s">
        <v>379</v>
      </c>
      <c r="T9" s="55" t="s">
        <v>380</v>
      </c>
      <c r="U9" s="55" t="s">
        <v>381</v>
      </c>
    </row>
    <row r="10" spans="1:21" ht="55.95" customHeight="1" x14ac:dyDescent="0.3">
      <c r="A10" s="10">
        <v>6</v>
      </c>
      <c r="B10" s="54" t="s">
        <v>382</v>
      </c>
      <c r="C10" s="55" t="s">
        <v>383</v>
      </c>
      <c r="D10" s="56">
        <v>0</v>
      </c>
      <c r="E10" s="56">
        <v>1</v>
      </c>
      <c r="F10" s="56">
        <v>0</v>
      </c>
      <c r="G10" s="56">
        <v>0</v>
      </c>
      <c r="H10" s="56">
        <v>0</v>
      </c>
      <c r="I10" s="56">
        <v>1</v>
      </c>
      <c r="J10" s="10">
        <f t="shared" si="0"/>
        <v>2</v>
      </c>
      <c r="K10" s="56">
        <v>9</v>
      </c>
      <c r="L10" s="56">
        <v>8</v>
      </c>
      <c r="M10" s="56">
        <v>7</v>
      </c>
      <c r="N10" s="56">
        <v>7</v>
      </c>
      <c r="O10" s="56">
        <v>6</v>
      </c>
      <c r="P10" s="10">
        <f t="shared" si="1"/>
        <v>37</v>
      </c>
      <c r="Q10" s="10" t="str">
        <f>IF(P10="","",IF(P10&gt;=DREAD_Guidelines!$B$13,"CRITICAL",IF(P10&gt;=DREAD_Guidelines!$B$14,"HIGH",IF(P10&gt;=DREAD_Guidelines!$B$15,"MEDIUM","LOW"))))</f>
        <v>HIGH</v>
      </c>
      <c r="R10" s="10">
        <f t="shared" si="2"/>
        <v>5</v>
      </c>
      <c r="S10" s="55" t="s">
        <v>384</v>
      </c>
      <c r="T10" s="55" t="s">
        <v>385</v>
      </c>
      <c r="U10" s="55" t="s">
        <v>386</v>
      </c>
    </row>
    <row r="11" spans="1:21" ht="55.95" customHeight="1" x14ac:dyDescent="0.3">
      <c r="A11" s="10">
        <v>7</v>
      </c>
      <c r="B11" s="54" t="s">
        <v>387</v>
      </c>
      <c r="C11" s="55" t="s">
        <v>388</v>
      </c>
      <c r="D11" s="56">
        <v>0</v>
      </c>
      <c r="E11" s="56">
        <v>1</v>
      </c>
      <c r="F11" s="56">
        <v>0</v>
      </c>
      <c r="G11" s="56">
        <v>1</v>
      </c>
      <c r="H11" s="56">
        <v>0</v>
      </c>
      <c r="I11" s="56">
        <v>0</v>
      </c>
      <c r="J11" s="10">
        <f t="shared" si="0"/>
        <v>2</v>
      </c>
      <c r="K11" s="56">
        <v>8</v>
      </c>
      <c r="L11" s="56">
        <v>7</v>
      </c>
      <c r="M11" s="56">
        <v>6</v>
      </c>
      <c r="N11" s="56">
        <v>7</v>
      </c>
      <c r="O11" s="56">
        <v>6</v>
      </c>
      <c r="P11" s="10">
        <f t="shared" si="1"/>
        <v>34</v>
      </c>
      <c r="Q11" s="10" t="str">
        <f>IF(P11="","",IF(P11&gt;=DREAD_Guidelines!$B$13,"CRITICAL",IF(P11&gt;=DREAD_Guidelines!$B$14,"HIGH",IF(P11&gt;=DREAD_Guidelines!$B$15,"MEDIUM","LOW"))))</f>
        <v>HIGH</v>
      </c>
      <c r="R11" s="10">
        <f t="shared" si="2"/>
        <v>7</v>
      </c>
      <c r="S11" s="55" t="s">
        <v>389</v>
      </c>
      <c r="T11" s="55" t="s">
        <v>390</v>
      </c>
      <c r="U11" s="55" t="s">
        <v>391</v>
      </c>
    </row>
    <row r="12" spans="1:21" ht="55.95" customHeight="1" x14ac:dyDescent="0.3">
      <c r="A12" s="10">
        <v>8</v>
      </c>
      <c r="B12" s="54" t="s">
        <v>392</v>
      </c>
      <c r="C12" s="55" t="s">
        <v>393</v>
      </c>
      <c r="D12" s="56">
        <v>1</v>
      </c>
      <c r="E12" s="56">
        <v>0</v>
      </c>
      <c r="F12" s="56">
        <v>0</v>
      </c>
      <c r="G12" s="56">
        <v>1</v>
      </c>
      <c r="H12" s="56">
        <v>0</v>
      </c>
      <c r="I12" s="56">
        <v>0</v>
      </c>
      <c r="J12" s="10">
        <f t="shared" si="0"/>
        <v>2</v>
      </c>
      <c r="K12" s="56">
        <v>8</v>
      </c>
      <c r="L12" s="56">
        <v>7</v>
      </c>
      <c r="M12" s="56">
        <v>6</v>
      </c>
      <c r="N12" s="56">
        <v>7</v>
      </c>
      <c r="O12" s="56">
        <v>6</v>
      </c>
      <c r="P12" s="10">
        <f t="shared" si="1"/>
        <v>34</v>
      </c>
      <c r="Q12" s="10" t="str">
        <f>IF(P12="","",IF(P12&gt;=DREAD_Guidelines!$B$13,"CRITICAL",IF(P12&gt;=DREAD_Guidelines!$B$14,"HIGH",IF(P12&gt;=DREAD_Guidelines!$B$15,"MEDIUM","LOW"))))</f>
        <v>HIGH</v>
      </c>
      <c r="R12" s="10">
        <f t="shared" si="2"/>
        <v>7</v>
      </c>
      <c r="S12" s="55" t="s">
        <v>394</v>
      </c>
      <c r="T12" s="55" t="s">
        <v>395</v>
      </c>
      <c r="U12" s="55" t="s">
        <v>396</v>
      </c>
    </row>
    <row r="13" spans="1:21" ht="55.95" customHeight="1" x14ac:dyDescent="0.3">
      <c r="A13" s="10">
        <v>9</v>
      </c>
      <c r="B13" s="54" t="s">
        <v>397</v>
      </c>
      <c r="C13" s="55" t="s">
        <v>398</v>
      </c>
      <c r="D13" s="56">
        <v>0</v>
      </c>
      <c r="E13" s="56">
        <v>1</v>
      </c>
      <c r="F13" s="56">
        <v>0</v>
      </c>
      <c r="G13" s="56">
        <v>1</v>
      </c>
      <c r="H13" s="56">
        <v>0</v>
      </c>
      <c r="I13" s="56">
        <v>0</v>
      </c>
      <c r="J13" s="10">
        <f t="shared" si="0"/>
        <v>2</v>
      </c>
      <c r="K13" s="56">
        <v>6</v>
      </c>
      <c r="L13" s="56">
        <v>8</v>
      </c>
      <c r="M13" s="56">
        <v>7</v>
      </c>
      <c r="N13" s="56">
        <v>6</v>
      </c>
      <c r="O13" s="56">
        <v>6</v>
      </c>
      <c r="P13" s="10">
        <f t="shared" si="1"/>
        <v>33</v>
      </c>
      <c r="Q13" s="10" t="str">
        <f>IF(P13="","",IF(P13&gt;=DREAD_Guidelines!$B$13,"CRITICAL",IF(P13&gt;=DREAD_Guidelines!$B$14,"HIGH",IF(P13&gt;=DREAD_Guidelines!$B$15,"MEDIUM","LOW"))))</f>
        <v>HIGH</v>
      </c>
      <c r="R13" s="10">
        <f t="shared" si="2"/>
        <v>9</v>
      </c>
      <c r="S13" s="55" t="s">
        <v>399</v>
      </c>
      <c r="T13" s="55" t="s">
        <v>400</v>
      </c>
      <c r="U13" s="55" t="s">
        <v>401</v>
      </c>
    </row>
    <row r="14" spans="1:21" ht="55.95" customHeight="1" x14ac:dyDescent="0.3">
      <c r="A14" s="10">
        <v>10</v>
      </c>
      <c r="B14" s="54" t="s">
        <v>402</v>
      </c>
      <c r="C14" s="55" t="s">
        <v>403</v>
      </c>
      <c r="D14" s="56">
        <v>0</v>
      </c>
      <c r="E14" s="56">
        <v>0</v>
      </c>
      <c r="F14" s="56">
        <v>0</v>
      </c>
      <c r="G14" s="56">
        <v>1</v>
      </c>
      <c r="H14" s="56">
        <v>0</v>
      </c>
      <c r="I14" s="56">
        <v>0</v>
      </c>
      <c r="J14" s="10">
        <f t="shared" si="0"/>
        <v>1</v>
      </c>
      <c r="K14" s="56">
        <v>2</v>
      </c>
      <c r="L14" s="56">
        <v>1</v>
      </c>
      <c r="M14" s="56">
        <v>1</v>
      </c>
      <c r="N14" s="56">
        <v>1</v>
      </c>
      <c r="O14" s="56">
        <v>1</v>
      </c>
      <c r="P14" s="10">
        <f t="shared" si="1"/>
        <v>6</v>
      </c>
      <c r="Q14" s="10" t="str">
        <f>IF(P14="","",IF(P14&gt;=DREAD_Guidelines!$B$13,"CRITICAL",IF(P14&gt;=DREAD_Guidelines!$B$14,"HIGH",IF(P14&gt;=DREAD_Guidelines!$B$15,"MEDIUM","LOW"))))</f>
        <v>LOW</v>
      </c>
      <c r="R14" s="10">
        <f t="shared" si="2"/>
        <v>10</v>
      </c>
      <c r="S14" s="55" t="s">
        <v>404</v>
      </c>
      <c r="T14" s="55" t="s">
        <v>405</v>
      </c>
      <c r="U14" s="55" t="s">
        <v>406</v>
      </c>
    </row>
    <row r="15" spans="1:21" ht="55.95" customHeight="1" x14ac:dyDescent="0.3">
      <c r="A15" s="10">
        <v>11</v>
      </c>
      <c r="B15" s="54"/>
      <c r="C15" s="55"/>
      <c r="D15" s="56"/>
      <c r="E15" s="56"/>
      <c r="F15" s="56"/>
      <c r="G15" s="56"/>
      <c r="H15" s="56"/>
      <c r="I15" s="56"/>
      <c r="J15" s="10" t="str">
        <f t="shared" si="0"/>
        <v/>
      </c>
      <c r="K15" s="56"/>
      <c r="L15" s="56"/>
      <c r="M15" s="56"/>
      <c r="N15" s="56"/>
      <c r="O15" s="56"/>
      <c r="P15" s="10" t="str">
        <f t="shared" si="1"/>
        <v/>
      </c>
      <c r="Q15" s="10" t="str">
        <f>IF(P15="","",IF(P15&gt;=DREAD_Guidelines!$B$13,"CRITICAL",IF(P15&gt;=DREAD_Guidelines!$B$14,"HIGH",IF(P15&gt;=DREAD_Guidelines!$B$15,"MEDIUM","LOW"))))</f>
        <v/>
      </c>
      <c r="R15" s="10" t="str">
        <f t="shared" si="2"/>
        <v/>
      </c>
      <c r="S15" s="55"/>
      <c r="T15" s="55"/>
      <c r="U15" s="55"/>
    </row>
    <row r="16" spans="1:21" ht="55.95" customHeight="1" x14ac:dyDescent="0.3">
      <c r="A16" s="10">
        <v>12</v>
      </c>
      <c r="B16" s="54"/>
      <c r="C16" s="55"/>
      <c r="D16" s="56"/>
      <c r="E16" s="56"/>
      <c r="F16" s="56"/>
      <c r="G16" s="56"/>
      <c r="H16" s="56"/>
      <c r="I16" s="56"/>
      <c r="J16" s="10" t="str">
        <f t="shared" si="0"/>
        <v/>
      </c>
      <c r="K16" s="56"/>
      <c r="L16" s="56"/>
      <c r="M16" s="56"/>
      <c r="N16" s="56"/>
      <c r="O16" s="56"/>
      <c r="P16" s="10" t="str">
        <f t="shared" si="1"/>
        <v/>
      </c>
      <c r="Q16" s="10" t="str">
        <f>IF(P16="","",IF(P16&gt;=DREAD_Guidelines!$B$13,"CRITICAL",IF(P16&gt;=DREAD_Guidelines!$B$14,"HIGH",IF(P16&gt;=DREAD_Guidelines!$B$15,"MEDIUM","LOW"))))</f>
        <v/>
      </c>
      <c r="R16" s="10" t="str">
        <f t="shared" si="2"/>
        <v/>
      </c>
      <c r="S16" s="55"/>
      <c r="T16" s="55"/>
      <c r="U16" s="55"/>
    </row>
    <row r="17" spans="1:21" ht="55.95" customHeight="1" x14ac:dyDescent="0.3">
      <c r="A17" s="10">
        <v>13</v>
      </c>
      <c r="B17" s="54"/>
      <c r="C17" s="55"/>
      <c r="D17" s="56"/>
      <c r="E17" s="56"/>
      <c r="F17" s="56"/>
      <c r="G17" s="56"/>
      <c r="H17" s="56"/>
      <c r="I17" s="56"/>
      <c r="J17" s="10" t="str">
        <f t="shared" si="0"/>
        <v/>
      </c>
      <c r="K17" s="56"/>
      <c r="L17" s="56"/>
      <c r="M17" s="56"/>
      <c r="N17" s="56"/>
      <c r="O17" s="56"/>
      <c r="P17" s="10" t="str">
        <f t="shared" si="1"/>
        <v/>
      </c>
      <c r="Q17" s="10" t="str">
        <f>IF(P17="","",IF(P17&gt;=DREAD_Guidelines!$B$13,"CRITICAL",IF(P17&gt;=DREAD_Guidelines!$B$14,"HIGH",IF(P17&gt;=DREAD_Guidelines!$B$15,"MEDIUM","LOW"))))</f>
        <v/>
      </c>
      <c r="R17" s="10" t="str">
        <f t="shared" si="2"/>
        <v/>
      </c>
      <c r="S17" s="55"/>
      <c r="T17" s="55"/>
      <c r="U17" s="55"/>
    </row>
    <row r="18" spans="1:21" ht="55.95" customHeight="1" x14ac:dyDescent="0.3">
      <c r="A18" s="10">
        <v>14</v>
      </c>
      <c r="B18" s="54"/>
      <c r="C18" s="55"/>
      <c r="D18" s="56"/>
      <c r="E18" s="56"/>
      <c r="F18" s="56"/>
      <c r="G18" s="56"/>
      <c r="H18" s="56"/>
      <c r="I18" s="56"/>
      <c r="J18" s="10" t="str">
        <f t="shared" si="0"/>
        <v/>
      </c>
      <c r="K18" s="56"/>
      <c r="L18" s="56"/>
      <c r="M18" s="56"/>
      <c r="N18" s="56"/>
      <c r="O18" s="56"/>
      <c r="P18" s="10" t="str">
        <f t="shared" si="1"/>
        <v/>
      </c>
      <c r="Q18" s="10" t="str">
        <f>IF(P18="","",IF(P18&gt;=DREAD_Guidelines!$B$13,"CRITICAL",IF(P18&gt;=DREAD_Guidelines!$B$14,"HIGH",IF(P18&gt;=DREAD_Guidelines!$B$15,"MEDIUM","LOW"))))</f>
        <v/>
      </c>
      <c r="R18" s="10" t="str">
        <f t="shared" si="2"/>
        <v/>
      </c>
      <c r="S18" s="55"/>
      <c r="T18" s="55"/>
      <c r="U18" s="55"/>
    </row>
    <row r="19" spans="1:21" ht="55.95" customHeight="1" x14ac:dyDescent="0.3">
      <c r="A19" s="10">
        <v>15</v>
      </c>
      <c r="B19" s="54"/>
      <c r="C19" s="55"/>
      <c r="D19" s="56"/>
      <c r="E19" s="56"/>
      <c r="F19" s="56"/>
      <c r="G19" s="56"/>
      <c r="H19" s="56"/>
      <c r="I19" s="56"/>
      <c r="J19" s="10" t="str">
        <f t="shared" si="0"/>
        <v/>
      </c>
      <c r="K19" s="56"/>
      <c r="L19" s="56"/>
      <c r="M19" s="56"/>
      <c r="N19" s="56"/>
      <c r="O19" s="56"/>
      <c r="P19" s="10" t="str">
        <f t="shared" si="1"/>
        <v/>
      </c>
      <c r="Q19" s="10" t="str">
        <f>IF(P19="","",IF(P19&gt;=DREAD_Guidelines!$B$13,"CRITICAL",IF(P19&gt;=DREAD_Guidelines!$B$14,"HIGH",IF(P19&gt;=DREAD_Guidelines!$B$15,"MEDIUM","LOW"))))</f>
        <v/>
      </c>
      <c r="R19" s="10" t="str">
        <f t="shared" si="2"/>
        <v/>
      </c>
      <c r="S19" s="55"/>
      <c r="T19" s="55"/>
      <c r="U19" s="55"/>
    </row>
    <row r="20" spans="1:21" ht="55.95" customHeight="1" x14ac:dyDescent="0.3">
      <c r="A20" s="10">
        <v>16</v>
      </c>
      <c r="B20" s="54"/>
      <c r="C20" s="55"/>
      <c r="D20" s="56"/>
      <c r="E20" s="56"/>
      <c r="F20" s="56"/>
      <c r="G20" s="56"/>
      <c r="H20" s="56"/>
      <c r="I20" s="56"/>
      <c r="J20" s="10" t="str">
        <f t="shared" si="0"/>
        <v/>
      </c>
      <c r="K20" s="56"/>
      <c r="L20" s="56"/>
      <c r="M20" s="56"/>
      <c r="N20" s="56"/>
      <c r="O20" s="56"/>
      <c r="P20" s="10" t="str">
        <f t="shared" si="1"/>
        <v/>
      </c>
      <c r="Q20" s="10" t="str">
        <f>IF(P20="","",IF(P20&gt;=DREAD_Guidelines!$B$13,"CRITICAL",IF(P20&gt;=DREAD_Guidelines!$B$14,"HIGH",IF(P20&gt;=DREAD_Guidelines!$B$15,"MEDIUM","LOW"))))</f>
        <v/>
      </c>
      <c r="R20" s="10" t="str">
        <f t="shared" si="2"/>
        <v/>
      </c>
      <c r="S20" s="55"/>
      <c r="T20" s="55"/>
      <c r="U20" s="55"/>
    </row>
    <row r="21" spans="1:21" ht="55.95" customHeight="1" x14ac:dyDescent="0.3">
      <c r="A21" s="10">
        <v>17</v>
      </c>
      <c r="B21" s="54"/>
      <c r="C21" s="55"/>
      <c r="D21" s="56"/>
      <c r="E21" s="56"/>
      <c r="F21" s="56"/>
      <c r="G21" s="56"/>
      <c r="H21" s="56"/>
      <c r="I21" s="56"/>
      <c r="J21" s="10" t="str">
        <f t="shared" si="0"/>
        <v/>
      </c>
      <c r="K21" s="56"/>
      <c r="L21" s="56"/>
      <c r="M21" s="56"/>
      <c r="N21" s="56"/>
      <c r="O21" s="56"/>
      <c r="P21" s="10" t="str">
        <f t="shared" si="1"/>
        <v/>
      </c>
      <c r="Q21" s="10" t="str">
        <f>IF(P21="","",IF(P21&gt;=DREAD_Guidelines!$B$13,"CRITICAL",IF(P21&gt;=DREAD_Guidelines!$B$14,"HIGH",IF(P21&gt;=DREAD_Guidelines!$B$15,"MEDIUM","LOW"))))</f>
        <v/>
      </c>
      <c r="R21" s="10" t="str">
        <f t="shared" si="2"/>
        <v/>
      </c>
      <c r="S21" s="55"/>
      <c r="T21" s="55"/>
      <c r="U21" s="55"/>
    </row>
    <row r="22" spans="1:21" ht="55.95" customHeight="1" x14ac:dyDescent="0.3">
      <c r="A22" s="10">
        <v>18</v>
      </c>
      <c r="B22" s="54"/>
      <c r="C22" s="55"/>
      <c r="D22" s="56"/>
      <c r="E22" s="56"/>
      <c r="F22" s="56"/>
      <c r="G22" s="56"/>
      <c r="H22" s="56"/>
      <c r="I22" s="56"/>
      <c r="J22" s="10" t="str">
        <f t="shared" si="0"/>
        <v/>
      </c>
      <c r="K22" s="56"/>
      <c r="L22" s="56"/>
      <c r="M22" s="56"/>
      <c r="N22" s="56"/>
      <c r="O22" s="56"/>
      <c r="P22" s="10" t="str">
        <f t="shared" si="1"/>
        <v/>
      </c>
      <c r="Q22" s="10" t="str">
        <f>IF(P22="","",IF(P22&gt;=DREAD_Guidelines!$B$13,"CRITICAL",IF(P22&gt;=DREAD_Guidelines!$B$14,"HIGH",IF(P22&gt;=DREAD_Guidelines!$B$15,"MEDIUM","LOW"))))</f>
        <v/>
      </c>
      <c r="R22" s="10" t="str">
        <f t="shared" si="2"/>
        <v/>
      </c>
      <c r="S22" s="55"/>
      <c r="T22" s="55"/>
      <c r="U22" s="55"/>
    </row>
    <row r="23" spans="1:21" ht="55.95" customHeight="1" x14ac:dyDescent="0.3">
      <c r="A23" s="10">
        <v>19</v>
      </c>
      <c r="B23" s="54"/>
      <c r="C23" s="55"/>
      <c r="D23" s="56"/>
      <c r="E23" s="56"/>
      <c r="F23" s="56"/>
      <c r="G23" s="56"/>
      <c r="H23" s="56"/>
      <c r="I23" s="56"/>
      <c r="J23" s="10" t="str">
        <f t="shared" si="0"/>
        <v/>
      </c>
      <c r="K23" s="56"/>
      <c r="L23" s="56"/>
      <c r="M23" s="56"/>
      <c r="N23" s="56"/>
      <c r="O23" s="56"/>
      <c r="P23" s="10" t="str">
        <f t="shared" si="1"/>
        <v/>
      </c>
      <c r="Q23" s="10" t="str">
        <f>IF(P23="","",IF(P23&gt;=DREAD_Guidelines!$B$13,"CRITICAL",IF(P23&gt;=DREAD_Guidelines!$B$14,"HIGH",IF(P23&gt;=DREAD_Guidelines!$B$15,"MEDIUM","LOW"))))</f>
        <v/>
      </c>
      <c r="R23" s="10" t="str">
        <f t="shared" si="2"/>
        <v/>
      </c>
      <c r="S23" s="55"/>
      <c r="T23" s="55"/>
      <c r="U23" s="55"/>
    </row>
    <row r="24" spans="1:21" ht="55.95" customHeight="1" x14ac:dyDescent="0.3">
      <c r="A24" s="10">
        <v>20</v>
      </c>
      <c r="B24" s="54"/>
      <c r="C24" s="55"/>
      <c r="D24" s="56"/>
      <c r="E24" s="56"/>
      <c r="F24" s="56"/>
      <c r="G24" s="56"/>
      <c r="H24" s="56"/>
      <c r="I24" s="56"/>
      <c r="J24" s="10" t="str">
        <f t="shared" si="0"/>
        <v/>
      </c>
      <c r="K24" s="56"/>
      <c r="L24" s="56"/>
      <c r="M24" s="56"/>
      <c r="N24" s="56"/>
      <c r="O24" s="56"/>
      <c r="P24" s="10" t="str">
        <f t="shared" si="1"/>
        <v/>
      </c>
      <c r="Q24" s="10" t="str">
        <f>IF(P24="","",IF(P24&gt;=DREAD_Guidelines!$B$13,"CRITICAL",IF(P24&gt;=DREAD_Guidelines!$B$14,"HIGH",IF(P24&gt;=DREAD_Guidelines!$B$15,"MEDIUM","LOW"))))</f>
        <v/>
      </c>
      <c r="R24" s="10" t="str">
        <f t="shared" si="2"/>
        <v/>
      </c>
      <c r="S24" s="55"/>
      <c r="T24" s="55"/>
      <c r="U24" s="55"/>
    </row>
    <row r="25" spans="1:21" ht="55.95" customHeight="1" x14ac:dyDescent="0.3">
      <c r="A25" s="10">
        <v>21</v>
      </c>
      <c r="B25" s="54"/>
      <c r="C25" s="55"/>
      <c r="D25" s="56"/>
      <c r="E25" s="56"/>
      <c r="F25" s="56"/>
      <c r="G25" s="56"/>
      <c r="H25" s="56"/>
      <c r="I25" s="56"/>
      <c r="J25" s="10" t="str">
        <f t="shared" si="0"/>
        <v/>
      </c>
      <c r="K25" s="56"/>
      <c r="L25" s="56"/>
      <c r="M25" s="56"/>
      <c r="N25" s="56"/>
      <c r="O25" s="56"/>
      <c r="P25" s="10" t="str">
        <f t="shared" si="1"/>
        <v/>
      </c>
      <c r="Q25" s="10" t="str">
        <f>IF(P25="","",IF(P25&gt;=DREAD_Guidelines!$B$13,"CRITICAL",IF(P25&gt;=DREAD_Guidelines!$B$14,"HIGH",IF(P25&gt;=DREAD_Guidelines!$B$15,"MEDIUM","LOW"))))</f>
        <v/>
      </c>
      <c r="R25" s="10" t="str">
        <f t="shared" si="2"/>
        <v/>
      </c>
      <c r="S25" s="55"/>
      <c r="T25" s="55"/>
      <c r="U25" s="55"/>
    </row>
    <row r="26" spans="1:21" ht="55.95" customHeight="1" x14ac:dyDescent="0.3">
      <c r="A26" s="10">
        <v>22</v>
      </c>
      <c r="B26" s="54"/>
      <c r="C26" s="55"/>
      <c r="D26" s="56"/>
      <c r="E26" s="56"/>
      <c r="F26" s="56"/>
      <c r="G26" s="56"/>
      <c r="H26" s="56"/>
      <c r="I26" s="56"/>
      <c r="J26" s="10" t="str">
        <f t="shared" si="0"/>
        <v/>
      </c>
      <c r="K26" s="56"/>
      <c r="L26" s="56"/>
      <c r="M26" s="56"/>
      <c r="N26" s="56"/>
      <c r="O26" s="56"/>
      <c r="P26" s="10" t="str">
        <f t="shared" si="1"/>
        <v/>
      </c>
      <c r="Q26" s="10" t="str">
        <f>IF(P26="","",IF(P26&gt;=DREAD_Guidelines!$B$13,"CRITICAL",IF(P26&gt;=DREAD_Guidelines!$B$14,"HIGH",IF(P26&gt;=DREAD_Guidelines!$B$15,"MEDIUM","LOW"))))</f>
        <v/>
      </c>
      <c r="R26" s="10" t="str">
        <f t="shared" si="2"/>
        <v/>
      </c>
      <c r="S26" s="55"/>
      <c r="T26" s="55"/>
      <c r="U26" s="55"/>
    </row>
    <row r="27" spans="1:21" ht="55.95" customHeight="1" x14ac:dyDescent="0.3">
      <c r="A27" s="10">
        <v>23</v>
      </c>
      <c r="B27" s="54"/>
      <c r="C27" s="55"/>
      <c r="D27" s="56"/>
      <c r="E27" s="56"/>
      <c r="F27" s="56"/>
      <c r="G27" s="56"/>
      <c r="H27" s="56"/>
      <c r="I27" s="56"/>
      <c r="J27" s="10" t="str">
        <f t="shared" si="0"/>
        <v/>
      </c>
      <c r="K27" s="56"/>
      <c r="L27" s="56"/>
      <c r="M27" s="56"/>
      <c r="N27" s="56"/>
      <c r="O27" s="56"/>
      <c r="P27" s="10" t="str">
        <f t="shared" si="1"/>
        <v/>
      </c>
      <c r="Q27" s="10" t="str">
        <f>IF(P27="","",IF(P27&gt;=DREAD_Guidelines!$B$13,"CRITICAL",IF(P27&gt;=DREAD_Guidelines!$B$14,"HIGH",IF(P27&gt;=DREAD_Guidelines!$B$15,"MEDIUM","LOW"))))</f>
        <v/>
      </c>
      <c r="R27" s="10" t="str">
        <f t="shared" si="2"/>
        <v/>
      </c>
      <c r="S27" s="55"/>
      <c r="T27" s="55"/>
      <c r="U27" s="55"/>
    </row>
    <row r="28" spans="1:21" ht="55.95" customHeight="1" x14ac:dyDescent="0.3">
      <c r="A28" s="10">
        <v>24</v>
      </c>
      <c r="B28" s="54"/>
      <c r="C28" s="55"/>
      <c r="D28" s="56"/>
      <c r="E28" s="56"/>
      <c r="F28" s="56"/>
      <c r="G28" s="56"/>
      <c r="H28" s="56"/>
      <c r="I28" s="56"/>
      <c r="J28" s="10" t="str">
        <f t="shared" si="0"/>
        <v/>
      </c>
      <c r="K28" s="56"/>
      <c r="L28" s="56"/>
      <c r="M28" s="56"/>
      <c r="N28" s="56"/>
      <c r="O28" s="56"/>
      <c r="P28" s="10" t="str">
        <f t="shared" si="1"/>
        <v/>
      </c>
      <c r="Q28" s="10" t="str">
        <f>IF(P28="","",IF(P28&gt;=DREAD_Guidelines!$B$13,"CRITICAL",IF(P28&gt;=DREAD_Guidelines!$B$14,"HIGH",IF(P28&gt;=DREAD_Guidelines!$B$15,"MEDIUM","LOW"))))</f>
        <v/>
      </c>
      <c r="R28" s="10" t="str">
        <f t="shared" si="2"/>
        <v/>
      </c>
      <c r="S28" s="55"/>
      <c r="T28" s="55"/>
      <c r="U28" s="55"/>
    </row>
    <row r="29" spans="1:21" ht="55.95" customHeight="1" x14ac:dyDescent="0.3">
      <c r="A29" s="10">
        <v>25</v>
      </c>
      <c r="B29" s="54"/>
      <c r="C29" s="55"/>
      <c r="D29" s="56"/>
      <c r="E29" s="56"/>
      <c r="F29" s="56"/>
      <c r="G29" s="56"/>
      <c r="H29" s="56"/>
      <c r="I29" s="56"/>
      <c r="J29" s="10" t="str">
        <f t="shared" si="0"/>
        <v/>
      </c>
      <c r="K29" s="56"/>
      <c r="L29" s="56"/>
      <c r="M29" s="56"/>
      <c r="N29" s="56"/>
      <c r="O29" s="56"/>
      <c r="P29" s="10" t="str">
        <f t="shared" si="1"/>
        <v/>
      </c>
      <c r="Q29" s="10" t="str">
        <f>IF(P29="","",IF(P29&gt;=DREAD_Guidelines!$B$13,"CRITICAL",IF(P29&gt;=DREAD_Guidelines!$B$14,"HIGH",IF(P29&gt;=DREAD_Guidelines!$B$15,"MEDIUM","LOW"))))</f>
        <v/>
      </c>
      <c r="R29" s="10" t="str">
        <f t="shared" si="2"/>
        <v/>
      </c>
      <c r="S29" s="55"/>
      <c r="T29" s="55"/>
      <c r="U29" s="55"/>
    </row>
    <row r="30" spans="1:21" ht="55.95" customHeight="1" x14ac:dyDescent="0.3">
      <c r="A30" s="10">
        <v>26</v>
      </c>
      <c r="B30" s="54"/>
      <c r="C30" s="55"/>
      <c r="D30" s="56"/>
      <c r="E30" s="56"/>
      <c r="F30" s="56"/>
      <c r="G30" s="56"/>
      <c r="H30" s="56"/>
      <c r="I30" s="56"/>
      <c r="J30" s="10" t="str">
        <f t="shared" si="0"/>
        <v/>
      </c>
      <c r="K30" s="56"/>
      <c r="L30" s="56"/>
      <c r="M30" s="56"/>
      <c r="N30" s="56"/>
      <c r="O30" s="56"/>
      <c r="P30" s="10" t="str">
        <f t="shared" si="1"/>
        <v/>
      </c>
      <c r="Q30" s="10" t="str">
        <f>IF(P30="","",IF(P30&gt;=DREAD_Guidelines!$B$13,"CRITICAL",IF(P30&gt;=DREAD_Guidelines!$B$14,"HIGH",IF(P30&gt;=DREAD_Guidelines!$B$15,"MEDIUM","LOW"))))</f>
        <v/>
      </c>
      <c r="R30" s="10" t="str">
        <f t="shared" si="2"/>
        <v/>
      </c>
      <c r="S30" s="55"/>
      <c r="T30" s="55"/>
      <c r="U30" s="55"/>
    </row>
    <row r="31" spans="1:21" ht="55.95" customHeight="1" x14ac:dyDescent="0.3">
      <c r="A31" s="10">
        <v>27</v>
      </c>
      <c r="B31" s="54"/>
      <c r="C31" s="55"/>
      <c r="D31" s="56"/>
      <c r="E31" s="56"/>
      <c r="F31" s="56"/>
      <c r="G31" s="56"/>
      <c r="H31" s="56"/>
      <c r="I31" s="56"/>
      <c r="J31" s="10" t="str">
        <f t="shared" si="0"/>
        <v/>
      </c>
      <c r="K31" s="56"/>
      <c r="L31" s="56"/>
      <c r="M31" s="56"/>
      <c r="N31" s="56"/>
      <c r="O31" s="56"/>
      <c r="P31" s="10" t="str">
        <f t="shared" si="1"/>
        <v/>
      </c>
      <c r="Q31" s="10" t="str">
        <f>IF(P31="","",IF(P31&gt;=DREAD_Guidelines!$B$13,"CRITICAL",IF(P31&gt;=DREAD_Guidelines!$B$14,"HIGH",IF(P31&gt;=DREAD_Guidelines!$B$15,"MEDIUM","LOW"))))</f>
        <v/>
      </c>
      <c r="R31" s="10" t="str">
        <f t="shared" si="2"/>
        <v/>
      </c>
      <c r="S31" s="55"/>
      <c r="T31" s="55"/>
      <c r="U31" s="55"/>
    </row>
    <row r="32" spans="1:21" ht="55.95" customHeight="1" x14ac:dyDescent="0.3">
      <c r="A32" s="10">
        <v>28</v>
      </c>
      <c r="B32" s="54"/>
      <c r="C32" s="55"/>
      <c r="D32" s="56"/>
      <c r="E32" s="56"/>
      <c r="F32" s="56"/>
      <c r="G32" s="56"/>
      <c r="H32" s="56"/>
      <c r="I32" s="56"/>
      <c r="J32" s="10" t="str">
        <f t="shared" si="0"/>
        <v/>
      </c>
      <c r="K32" s="56"/>
      <c r="L32" s="56"/>
      <c r="M32" s="56"/>
      <c r="N32" s="56"/>
      <c r="O32" s="56"/>
      <c r="P32" s="10" t="str">
        <f t="shared" si="1"/>
        <v/>
      </c>
      <c r="Q32" s="10" t="str">
        <f>IF(P32="","",IF(P32&gt;=DREAD_Guidelines!$B$13,"CRITICAL",IF(P32&gt;=DREAD_Guidelines!$B$14,"HIGH",IF(P32&gt;=DREAD_Guidelines!$B$15,"MEDIUM","LOW"))))</f>
        <v/>
      </c>
      <c r="R32" s="10" t="str">
        <f t="shared" si="2"/>
        <v/>
      </c>
      <c r="S32" s="55"/>
      <c r="T32" s="55"/>
      <c r="U32" s="55"/>
    </row>
    <row r="33" spans="1:21" ht="55.95" customHeight="1" x14ac:dyDescent="0.3">
      <c r="A33" s="10">
        <v>29</v>
      </c>
      <c r="B33" s="54"/>
      <c r="C33" s="55"/>
      <c r="D33" s="56"/>
      <c r="E33" s="56"/>
      <c r="F33" s="56"/>
      <c r="G33" s="56"/>
      <c r="H33" s="56"/>
      <c r="I33" s="56"/>
      <c r="J33" s="10" t="str">
        <f t="shared" si="0"/>
        <v/>
      </c>
      <c r="K33" s="56"/>
      <c r="L33" s="56"/>
      <c r="M33" s="56"/>
      <c r="N33" s="56"/>
      <c r="O33" s="56"/>
      <c r="P33" s="10" t="str">
        <f t="shared" si="1"/>
        <v/>
      </c>
      <c r="Q33" s="10" t="str">
        <f>IF(P33="","",IF(P33&gt;=DREAD_Guidelines!$B$13,"CRITICAL",IF(P33&gt;=DREAD_Guidelines!$B$14,"HIGH",IF(P33&gt;=DREAD_Guidelines!$B$15,"MEDIUM","LOW"))))</f>
        <v/>
      </c>
      <c r="R33" s="10" t="str">
        <f t="shared" si="2"/>
        <v/>
      </c>
      <c r="S33" s="55"/>
      <c r="T33" s="55"/>
      <c r="U33" s="55"/>
    </row>
    <row r="34" spans="1:21" ht="55.95" customHeight="1" x14ac:dyDescent="0.3">
      <c r="A34" s="10">
        <v>30</v>
      </c>
      <c r="B34" s="54"/>
      <c r="C34" s="55"/>
      <c r="D34" s="56"/>
      <c r="E34" s="56"/>
      <c r="F34" s="56"/>
      <c r="G34" s="56"/>
      <c r="H34" s="56"/>
      <c r="I34" s="56"/>
      <c r="J34" s="10" t="str">
        <f t="shared" si="0"/>
        <v/>
      </c>
      <c r="K34" s="56"/>
      <c r="L34" s="56"/>
      <c r="M34" s="56"/>
      <c r="N34" s="56"/>
      <c r="O34" s="56"/>
      <c r="P34" s="10" t="str">
        <f t="shared" si="1"/>
        <v/>
      </c>
      <c r="Q34" s="10" t="str">
        <f>IF(P34="","",IF(P34&gt;=DREAD_Guidelines!$B$13,"CRITICAL",IF(P34&gt;=DREAD_Guidelines!$B$14,"HIGH",IF(P34&gt;=DREAD_Guidelines!$B$15,"MEDIUM","LOW"))))</f>
        <v/>
      </c>
      <c r="R34" s="10" t="str">
        <f t="shared" si="2"/>
        <v/>
      </c>
      <c r="S34" s="55"/>
      <c r="T34" s="55"/>
      <c r="U34" s="55"/>
    </row>
    <row r="35" spans="1:21" ht="55.95" customHeight="1" x14ac:dyDescent="0.3">
      <c r="A35" s="10">
        <v>31</v>
      </c>
      <c r="B35" s="54"/>
      <c r="C35" s="55"/>
      <c r="D35" s="56"/>
      <c r="E35" s="56"/>
      <c r="F35" s="56"/>
      <c r="G35" s="56"/>
      <c r="H35" s="56"/>
      <c r="I35" s="56"/>
      <c r="J35" s="10" t="str">
        <f t="shared" si="0"/>
        <v/>
      </c>
      <c r="K35" s="56"/>
      <c r="L35" s="56"/>
      <c r="M35" s="56"/>
      <c r="N35" s="56"/>
      <c r="O35" s="56"/>
      <c r="P35" s="10" t="str">
        <f t="shared" si="1"/>
        <v/>
      </c>
      <c r="Q35" s="10" t="str">
        <f>IF(P35="","",IF(P35&gt;=DREAD_Guidelines!$B$13,"CRITICAL",IF(P35&gt;=DREAD_Guidelines!$B$14,"HIGH",IF(P35&gt;=DREAD_Guidelines!$B$15,"MEDIUM","LOW"))))</f>
        <v/>
      </c>
      <c r="R35" s="10" t="str">
        <f t="shared" si="2"/>
        <v/>
      </c>
      <c r="S35" s="55"/>
      <c r="T35" s="55"/>
      <c r="U35" s="55"/>
    </row>
    <row r="36" spans="1:21" ht="55.95" customHeight="1" x14ac:dyDescent="0.3">
      <c r="A36" s="10">
        <v>32</v>
      </c>
      <c r="B36" s="54"/>
      <c r="C36" s="55"/>
      <c r="D36" s="56"/>
      <c r="E36" s="56"/>
      <c r="F36" s="56"/>
      <c r="G36" s="56"/>
      <c r="H36" s="56"/>
      <c r="I36" s="56"/>
      <c r="J36" s="10" t="str">
        <f t="shared" si="0"/>
        <v/>
      </c>
      <c r="K36" s="56"/>
      <c r="L36" s="56"/>
      <c r="M36" s="56"/>
      <c r="N36" s="56"/>
      <c r="O36" s="56"/>
      <c r="P36" s="10" t="str">
        <f t="shared" si="1"/>
        <v/>
      </c>
      <c r="Q36" s="10" t="str">
        <f>IF(P36="","",IF(P36&gt;=DREAD_Guidelines!$B$13,"CRITICAL",IF(P36&gt;=DREAD_Guidelines!$B$14,"HIGH",IF(P36&gt;=DREAD_Guidelines!$B$15,"MEDIUM","LOW"))))</f>
        <v/>
      </c>
      <c r="R36" s="10" t="str">
        <f t="shared" si="2"/>
        <v/>
      </c>
      <c r="S36" s="55"/>
      <c r="T36" s="55"/>
      <c r="U36" s="55"/>
    </row>
    <row r="37" spans="1:21" ht="55.95" customHeight="1" x14ac:dyDescent="0.3">
      <c r="A37" s="10">
        <v>33</v>
      </c>
      <c r="B37" s="54"/>
      <c r="C37" s="55"/>
      <c r="D37" s="56"/>
      <c r="E37" s="56"/>
      <c r="F37" s="56"/>
      <c r="G37" s="56"/>
      <c r="H37" s="56"/>
      <c r="I37" s="56"/>
      <c r="J37" s="10" t="str">
        <f t="shared" si="0"/>
        <v/>
      </c>
      <c r="K37" s="56"/>
      <c r="L37" s="56"/>
      <c r="M37" s="56"/>
      <c r="N37" s="56"/>
      <c r="O37" s="56"/>
      <c r="P37" s="10" t="str">
        <f t="shared" si="1"/>
        <v/>
      </c>
      <c r="Q37" s="10" t="str">
        <f>IF(P37="","",IF(P37&gt;=DREAD_Guidelines!$B$13,"CRITICAL",IF(P37&gt;=DREAD_Guidelines!$B$14,"HIGH",IF(P37&gt;=DREAD_Guidelines!$B$15,"MEDIUM","LOW"))))</f>
        <v/>
      </c>
      <c r="R37" s="10" t="str">
        <f t="shared" si="2"/>
        <v/>
      </c>
      <c r="S37" s="55"/>
      <c r="T37" s="55"/>
      <c r="U37" s="55"/>
    </row>
    <row r="38" spans="1:21" ht="55.95" customHeight="1" x14ac:dyDescent="0.3">
      <c r="A38" s="10">
        <v>34</v>
      </c>
      <c r="B38" s="54"/>
      <c r="C38" s="55"/>
      <c r="D38" s="56"/>
      <c r="E38" s="56"/>
      <c r="F38" s="56"/>
      <c r="G38" s="56"/>
      <c r="H38" s="56"/>
      <c r="I38" s="56"/>
      <c r="J38" s="10" t="str">
        <f t="shared" si="0"/>
        <v/>
      </c>
      <c r="K38" s="56"/>
      <c r="L38" s="56"/>
      <c r="M38" s="56"/>
      <c r="N38" s="56"/>
      <c r="O38" s="56"/>
      <c r="P38" s="10" t="str">
        <f t="shared" si="1"/>
        <v/>
      </c>
      <c r="Q38" s="10" t="str">
        <f>IF(P38="","",IF(P38&gt;=DREAD_Guidelines!$B$13,"CRITICAL",IF(P38&gt;=DREAD_Guidelines!$B$14,"HIGH",IF(P38&gt;=DREAD_Guidelines!$B$15,"MEDIUM","LOW"))))</f>
        <v/>
      </c>
      <c r="R38" s="10" t="str">
        <f t="shared" si="2"/>
        <v/>
      </c>
      <c r="S38" s="55"/>
      <c r="T38" s="55"/>
      <c r="U38" s="55"/>
    </row>
    <row r="39" spans="1:21" ht="55.95" customHeight="1" x14ac:dyDescent="0.3">
      <c r="A39" s="10">
        <v>35</v>
      </c>
      <c r="B39" s="54"/>
      <c r="C39" s="55"/>
      <c r="D39" s="56"/>
      <c r="E39" s="56"/>
      <c r="F39" s="56"/>
      <c r="G39" s="56"/>
      <c r="H39" s="56"/>
      <c r="I39" s="56"/>
      <c r="J39" s="10" t="str">
        <f t="shared" si="0"/>
        <v/>
      </c>
      <c r="K39" s="56"/>
      <c r="L39" s="56"/>
      <c r="M39" s="56"/>
      <c r="N39" s="56"/>
      <c r="O39" s="56"/>
      <c r="P39" s="10" t="str">
        <f t="shared" si="1"/>
        <v/>
      </c>
      <c r="Q39" s="10" t="str">
        <f>IF(P39="","",IF(P39&gt;=DREAD_Guidelines!$B$13,"CRITICAL",IF(P39&gt;=DREAD_Guidelines!$B$14,"HIGH",IF(P39&gt;=DREAD_Guidelines!$B$15,"MEDIUM","LOW"))))</f>
        <v/>
      </c>
      <c r="R39" s="10" t="str">
        <f t="shared" si="2"/>
        <v/>
      </c>
      <c r="S39" s="55"/>
      <c r="T39" s="55"/>
      <c r="U39" s="55"/>
    </row>
    <row r="40" spans="1:21" ht="55.95" customHeight="1" x14ac:dyDescent="0.3">
      <c r="A40" s="10">
        <v>36</v>
      </c>
      <c r="B40" s="54"/>
      <c r="C40" s="55"/>
      <c r="D40" s="56"/>
      <c r="E40" s="56"/>
      <c r="F40" s="56"/>
      <c r="G40" s="56"/>
      <c r="H40" s="56"/>
      <c r="I40" s="56"/>
      <c r="J40" s="10" t="str">
        <f t="shared" si="0"/>
        <v/>
      </c>
      <c r="K40" s="56"/>
      <c r="L40" s="56"/>
      <c r="M40" s="56"/>
      <c r="N40" s="56"/>
      <c r="O40" s="56"/>
      <c r="P40" s="10" t="str">
        <f t="shared" si="1"/>
        <v/>
      </c>
      <c r="Q40" s="10" t="str">
        <f>IF(P40="","",IF(P40&gt;=DREAD_Guidelines!$B$13,"CRITICAL",IF(P40&gt;=DREAD_Guidelines!$B$14,"HIGH",IF(P40&gt;=DREAD_Guidelines!$B$15,"MEDIUM","LOW"))))</f>
        <v/>
      </c>
      <c r="R40" s="10" t="str">
        <f t="shared" si="2"/>
        <v/>
      </c>
      <c r="S40" s="55"/>
      <c r="T40" s="55"/>
      <c r="U40" s="55"/>
    </row>
    <row r="41" spans="1:21" ht="55.95" customHeight="1" x14ac:dyDescent="0.3">
      <c r="A41" s="10">
        <v>37</v>
      </c>
      <c r="B41" s="54"/>
      <c r="C41" s="55"/>
      <c r="D41" s="56"/>
      <c r="E41" s="56"/>
      <c r="F41" s="56"/>
      <c r="G41" s="56"/>
      <c r="H41" s="56"/>
      <c r="I41" s="56"/>
      <c r="J41" s="10" t="str">
        <f t="shared" si="0"/>
        <v/>
      </c>
      <c r="K41" s="56"/>
      <c r="L41" s="56"/>
      <c r="M41" s="56"/>
      <c r="N41" s="56"/>
      <c r="O41" s="56"/>
      <c r="P41" s="10" t="str">
        <f t="shared" si="1"/>
        <v/>
      </c>
      <c r="Q41" s="10" t="str">
        <f>IF(P41="","",IF(P41&gt;=DREAD_Guidelines!$B$13,"CRITICAL",IF(P41&gt;=DREAD_Guidelines!$B$14,"HIGH",IF(P41&gt;=DREAD_Guidelines!$B$15,"MEDIUM","LOW"))))</f>
        <v/>
      </c>
      <c r="R41" s="10" t="str">
        <f t="shared" si="2"/>
        <v/>
      </c>
      <c r="S41" s="55"/>
      <c r="T41" s="55"/>
      <c r="U41" s="55"/>
    </row>
    <row r="42" spans="1:21" ht="55.95" customHeight="1" x14ac:dyDescent="0.3">
      <c r="A42" s="10">
        <v>38</v>
      </c>
      <c r="B42" s="54"/>
      <c r="C42" s="55"/>
      <c r="D42" s="56"/>
      <c r="E42" s="56"/>
      <c r="F42" s="56"/>
      <c r="G42" s="56"/>
      <c r="H42" s="56"/>
      <c r="I42" s="56"/>
      <c r="J42" s="10" t="str">
        <f t="shared" si="0"/>
        <v/>
      </c>
      <c r="K42" s="56"/>
      <c r="L42" s="56"/>
      <c r="M42" s="56"/>
      <c r="N42" s="56"/>
      <c r="O42" s="56"/>
      <c r="P42" s="10" t="str">
        <f t="shared" si="1"/>
        <v/>
      </c>
      <c r="Q42" s="10" t="str">
        <f>IF(P42="","",IF(P42&gt;=DREAD_Guidelines!$B$13,"CRITICAL",IF(P42&gt;=DREAD_Guidelines!$B$14,"HIGH",IF(P42&gt;=DREAD_Guidelines!$B$15,"MEDIUM","LOW"))))</f>
        <v/>
      </c>
      <c r="R42" s="10" t="str">
        <f t="shared" si="2"/>
        <v/>
      </c>
      <c r="S42" s="55"/>
      <c r="T42" s="55"/>
      <c r="U42" s="55"/>
    </row>
    <row r="43" spans="1:21" ht="55.95" customHeight="1" x14ac:dyDescent="0.3">
      <c r="A43" s="10">
        <v>39</v>
      </c>
      <c r="B43" s="54"/>
      <c r="C43" s="55"/>
      <c r="D43" s="56"/>
      <c r="E43" s="56"/>
      <c r="F43" s="56"/>
      <c r="G43" s="56"/>
      <c r="H43" s="56"/>
      <c r="I43" s="56"/>
      <c r="J43" s="10" t="str">
        <f t="shared" si="0"/>
        <v/>
      </c>
      <c r="K43" s="56"/>
      <c r="L43" s="56"/>
      <c r="M43" s="56"/>
      <c r="N43" s="56"/>
      <c r="O43" s="56"/>
      <c r="P43" s="10" t="str">
        <f t="shared" si="1"/>
        <v/>
      </c>
      <c r="Q43" s="10" t="str">
        <f>IF(P43="","",IF(P43&gt;=DREAD_Guidelines!$B$13,"CRITICAL",IF(P43&gt;=DREAD_Guidelines!$B$14,"HIGH",IF(P43&gt;=DREAD_Guidelines!$B$15,"MEDIUM","LOW"))))</f>
        <v/>
      </c>
      <c r="R43" s="10" t="str">
        <f t="shared" si="2"/>
        <v/>
      </c>
      <c r="S43" s="55"/>
      <c r="T43" s="55"/>
      <c r="U43" s="55"/>
    </row>
    <row r="44" spans="1:21" ht="55.95" customHeight="1" x14ac:dyDescent="0.3">
      <c r="A44" s="10">
        <v>40</v>
      </c>
      <c r="B44" s="54"/>
      <c r="C44" s="55"/>
      <c r="D44" s="56"/>
      <c r="E44" s="56"/>
      <c r="F44" s="56"/>
      <c r="G44" s="56"/>
      <c r="H44" s="56"/>
      <c r="I44" s="56"/>
      <c r="J44" s="10" t="str">
        <f t="shared" si="0"/>
        <v/>
      </c>
      <c r="K44" s="56"/>
      <c r="L44" s="56"/>
      <c r="M44" s="56"/>
      <c r="N44" s="56"/>
      <c r="O44" s="56"/>
      <c r="P44" s="10" t="str">
        <f t="shared" si="1"/>
        <v/>
      </c>
      <c r="Q44" s="10" t="str">
        <f>IF(P44="","",IF(P44&gt;=DREAD_Guidelines!$B$13,"CRITICAL",IF(P44&gt;=DREAD_Guidelines!$B$14,"HIGH",IF(P44&gt;=DREAD_Guidelines!$B$15,"MEDIUM","LOW"))))</f>
        <v/>
      </c>
      <c r="R44" s="10" t="str">
        <f t="shared" si="2"/>
        <v/>
      </c>
      <c r="S44" s="55"/>
      <c r="T44" s="55"/>
      <c r="U44" s="55"/>
    </row>
  </sheetData>
  <sheetProtection sheet="1" formatCells="0" formatColumns="0" formatRows="0" sort="0" autoFilter="0"/>
  <autoFilter ref="A4:U44" xr:uid="{00000000-0009-0000-0000-000003000000}"/>
  <mergeCells count="7">
    <mergeCell ref="A1:U1"/>
    <mergeCell ref="P3:R3"/>
    <mergeCell ref="K3:O3"/>
    <mergeCell ref="A2:U2"/>
    <mergeCell ref="D3:J3"/>
    <mergeCell ref="A3:C3"/>
    <mergeCell ref="S3:U3"/>
  </mergeCells>
  <conditionalFormatting sqref="D5:I44">
    <cfRule type="cellIs" dxfId="7" priority="6" operator="equal">
      <formula>1</formula>
    </cfRule>
  </conditionalFormatting>
  <conditionalFormatting sqref="K5:O44">
    <cfRule type="colorScale" priority="7">
      <colorScale>
        <cfvo type="num" val="0"/>
        <cfvo type="num" val="10"/>
        <color rgb="FFFFF8D6"/>
        <color rgb="FFF4B183"/>
      </colorScale>
    </cfRule>
  </conditionalFormatting>
  <conditionalFormatting sqref="Q5:Q44">
    <cfRule type="cellIs" dxfId="6" priority="2" operator="equal">
      <formula>"CRITICAL"</formula>
    </cfRule>
    <cfRule type="cellIs" dxfId="5" priority="3" operator="equal">
      <formula>"HIGH"</formula>
    </cfRule>
    <cfRule type="cellIs" dxfId="4" priority="4" operator="equal">
      <formula>"MEDIUM"</formula>
    </cfRule>
    <cfRule type="cellIs" dxfId="3" priority="5" operator="equal">
      <formula>"LOW"</formula>
    </cfRule>
  </conditionalFormatting>
  <dataValidations count="7">
    <dataValidation type="list" allowBlank="1" showInputMessage="1" showErrorMessage="1" errorTitle="Input tidak valid" error="Isi 1 (berlaku) atau 0 (tidak)." promptTitle="STRIDE (1 atau 0)" prompt="Pilih 1 bila kategori ini benar-benar terjadi, 0 bila tidak. Kebanyakan ancaman cukup 1–2 kategori." sqref="D5:I44" xr:uid="{00000000-0002-0000-0300-000000000000}">
      <formula1>"0,1"</formula1>
      <formula2>0</formula2>
    </dataValidation>
    <dataValidation type="whole" allowBlank="1" showInputMessage="1" showErrorMessage="1" errorTitle="Skor tidak valid" error="Isi bilangan bulat 0 sampai 10." promptTitle="DREAD (0–10)" prompt="Angka bulat 0–10. Baca pertanyaan penuntun di sheet DREAD_Guidelines. Nilai tiap dimensi terpisah." sqref="K5:O44" xr:uid="{00000000-0002-0000-0300-000001000000}">
      <formula1>0</formula1>
      <formula2>10</formula2>
    </dataValidation>
    <dataValidation allowBlank="1" showInputMessage="1" promptTitle="ID ancaman" prompt="Tulis T-01, T-02, dst. Pakai nomor CVE bila ancamannya CVE publik. Tiap ID harus berbeda." sqref="B5:B44" xr:uid="{00000000-0002-0000-0300-000002000000}"/>
    <dataValidation allowBlank="1" showInputMessage="1" promptTitle="Deskripsi: 1 kalimat" prompt="Rumus: [Siapa] + [melakukan apa] + [pada bagian mana aplikasi] + [sehingga akibatnya apa]. Sebut nama fitur, halaman, atau file Anda." sqref="C5:C44" xr:uid="{00000000-0002-0000-0300-000003000000}"/>
    <dataValidation allowBlank="1" showInputMessage="1" promptTitle="Alasan skor" prompt="Satu kalimat per dimensi, mis. 'Damage 7: data semua pengguna terbaca; Reproducibility 9: ...'. Tulis juga asumsi Anda." sqref="S5:S44" xr:uid="{00000000-0002-0000-0300-000004000000}"/>
    <dataValidation allowBlank="1" showInputMessage="1" promptTitle="Bukti / sumber" prompt="Dari mana Anda tahu? Tulis nama file + baris kode, URL halaman, pengaturan server, atau tangkapan layar." sqref="T5:T44" xr:uid="{00000000-0002-0000-0300-000005000000}"/>
    <dataValidation allowBlank="1" showInputMessage="1" promptTitle="Saran mitigasi" prompt="1–2 tindakan konkret untuk memperbaiki, mis. 'batasi 5 percobaan login per 10 menit; tambah CAPTCHA'." sqref="U5:U44" xr:uid="{00000000-0002-0000-0300-000006000000}"/>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B2:F30"/>
  <sheetViews>
    <sheetView showGridLines="0" workbookViewId="0"/>
  </sheetViews>
  <sheetFormatPr defaultRowHeight="14.4" x14ac:dyDescent="0.3"/>
  <cols>
    <col min="1" max="1" width="2" customWidth="1"/>
    <col min="2" max="2" width="5" customWidth="1"/>
    <col min="3" max="3" width="58" customWidth="1"/>
    <col min="4" max="5" width="13" customWidth="1"/>
    <col min="6" max="6" width="78" customWidth="1"/>
  </cols>
  <sheetData>
    <row r="2" spans="2:6" ht="30" customHeight="1" x14ac:dyDescent="0.3">
      <c r="B2" s="78" t="s">
        <v>407</v>
      </c>
      <c r="C2" s="66"/>
      <c r="D2" s="66"/>
      <c r="E2" s="66"/>
      <c r="F2" s="66"/>
    </row>
    <row r="3" spans="2:6" ht="30" customHeight="1" x14ac:dyDescent="0.3">
      <c r="B3" s="77" t="s">
        <v>408</v>
      </c>
      <c r="C3" s="66"/>
      <c r="D3" s="66"/>
      <c r="E3" s="66"/>
      <c r="F3" s="66"/>
    </row>
    <row r="5" spans="2:6" ht="24" customHeight="1" x14ac:dyDescent="0.3">
      <c r="B5" s="57" t="s">
        <v>337</v>
      </c>
      <c r="C5" s="57" t="s">
        <v>409</v>
      </c>
      <c r="D5" s="57" t="s">
        <v>410</v>
      </c>
      <c r="E5" s="57" t="s">
        <v>411</v>
      </c>
      <c r="F5" s="57" t="s">
        <v>412</v>
      </c>
    </row>
    <row r="6" spans="2:6" ht="19.95" customHeight="1" x14ac:dyDescent="0.3">
      <c r="B6" s="100" t="s">
        <v>413</v>
      </c>
      <c r="C6" s="66"/>
      <c r="D6" s="66"/>
      <c r="E6" s="66"/>
      <c r="F6" s="66"/>
    </row>
    <row r="7" spans="2:6" ht="22.05" customHeight="1" x14ac:dyDescent="0.3">
      <c r="B7" s="58">
        <v>1</v>
      </c>
      <c r="C7" s="32" t="s">
        <v>414</v>
      </c>
      <c r="D7" s="47">
        <f>COUNTA(Profil_Aplikasi!B5:B9)</f>
        <v>5</v>
      </c>
      <c r="E7" s="47" t="str">
        <f>IF(D7&gt;=5,"OK","PERIKSA")</f>
        <v>OK</v>
      </c>
      <c r="F7" s="59" t="s">
        <v>415</v>
      </c>
    </row>
    <row r="8" spans="2:6" ht="22.05" customHeight="1" x14ac:dyDescent="0.3">
      <c r="B8" s="58">
        <v>2</v>
      </c>
      <c r="C8" s="32" t="s">
        <v>416</v>
      </c>
      <c r="D8" s="47">
        <f>COUNTA(Profil_Aplikasi!B15:B24)</f>
        <v>10</v>
      </c>
      <c r="E8" s="47" t="str">
        <f>IF(D8&gt;=4,"OK","PERIKSA")</f>
        <v>OK</v>
      </c>
      <c r="F8" s="59" t="s">
        <v>417</v>
      </c>
    </row>
    <row r="9" spans="2:6" ht="22.05" customHeight="1" x14ac:dyDescent="0.3">
      <c r="B9" s="58">
        <v>3</v>
      </c>
      <c r="C9" s="32" t="s">
        <v>418</v>
      </c>
      <c r="D9" s="47">
        <f>COUNTA(Profil_Aplikasi!B30:B39)</f>
        <v>10</v>
      </c>
      <c r="E9" s="47" t="str">
        <f>IF(D9&gt;=4,"OK","PERIKSA")</f>
        <v>OK</v>
      </c>
      <c r="F9" s="59" t="s">
        <v>419</v>
      </c>
    </row>
    <row r="10" spans="2:6" ht="22.05" customHeight="1" x14ac:dyDescent="0.3">
      <c r="B10" s="58">
        <v>4</v>
      </c>
      <c r="C10" s="32" t="s">
        <v>420</v>
      </c>
      <c r="D10" s="47">
        <f>COUNTA(Profil_Aplikasi!B45:B49)</f>
        <v>5</v>
      </c>
      <c r="E10" s="47" t="str">
        <f>IF(D10&gt;=2,"OK","PERIKSA")</f>
        <v>OK</v>
      </c>
      <c r="F10" s="59" t="s">
        <v>421</v>
      </c>
    </row>
    <row r="11" spans="2:6" ht="19.95" customHeight="1" x14ac:dyDescent="0.3">
      <c r="B11" s="100" t="s">
        <v>422</v>
      </c>
      <c r="C11" s="66"/>
      <c r="D11" s="66"/>
      <c r="E11" s="66"/>
      <c r="F11" s="66"/>
    </row>
    <row r="12" spans="2:6" ht="22.05" customHeight="1" x14ac:dyDescent="0.3">
      <c r="B12" s="58">
        <v>5</v>
      </c>
      <c r="C12" s="32" t="s">
        <v>423</v>
      </c>
      <c r="D12" s="47">
        <f>COUNTA(STRIDE_DREAD_Template!$C$5:$C$44)</f>
        <v>10</v>
      </c>
      <c r="E12" s="47" t="str">
        <f>IF(D12&gt;=6,"OK","PERIKSA")</f>
        <v>OK</v>
      </c>
      <c r="F12" s="59" t="s">
        <v>424</v>
      </c>
    </row>
    <row r="13" spans="2:6" ht="22.05" customHeight="1" x14ac:dyDescent="0.3">
      <c r="B13" s="58">
        <v>6</v>
      </c>
      <c r="C13" s="32" t="s">
        <v>425</v>
      </c>
      <c r="D13" s="47">
        <f>SUMPRODUCT(--(STRIDE_DREAD_Template!$C$5:$C$44&lt;&gt;""),--(STRIDE_DREAD_Template!$B$5:$B$44=""))</f>
        <v>0</v>
      </c>
      <c r="E13" s="47" t="str">
        <f t="shared" ref="E13:E18" si="0">IF($D$12=0,"-",IF(D13=0,"OK","PERIKSA"))</f>
        <v>OK</v>
      </c>
      <c r="F13" s="59" t="s">
        <v>426</v>
      </c>
    </row>
    <row r="14" spans="2:6" ht="22.05" customHeight="1" x14ac:dyDescent="0.3">
      <c r="B14" s="58">
        <v>7</v>
      </c>
      <c r="C14" s="32" t="s">
        <v>427</v>
      </c>
      <c r="D14" s="47">
        <f>COUNTA(STRIDE_DREAD_Template!$B$5:$B$44)-SUMPRODUCT((STRIDE_DREAD_Template!$B$5:$B$44&lt;&gt;"")/COUNTIF(STRIDE_DREAD_Template!$B$5:$B$44,STRIDE_DREAD_Template!$B$5:$B$44&amp;""))</f>
        <v>0</v>
      </c>
      <c r="E14" s="47" t="str">
        <f t="shared" si="0"/>
        <v>OK</v>
      </c>
      <c r="F14" s="59" t="s">
        <v>428</v>
      </c>
    </row>
    <row r="15" spans="2:6" ht="22.05" customHeight="1" x14ac:dyDescent="0.3">
      <c r="B15" s="58">
        <v>8</v>
      </c>
      <c r="C15" s="32" t="s">
        <v>429</v>
      </c>
      <c r="D15" s="47">
        <f>SUMPRODUCT(--(STRIDE_DREAD_Template!$C$5:$C$44&lt;&gt;""),--(LEN(STRIDE_DREAD_Template!$C$5:$C$44)&lt;40))</f>
        <v>0</v>
      </c>
      <c r="E15" s="47" t="str">
        <f t="shared" si="0"/>
        <v>OK</v>
      </c>
      <c r="F15" s="59" t="s">
        <v>430</v>
      </c>
    </row>
    <row r="16" spans="2:6" ht="22.05" customHeight="1" x14ac:dyDescent="0.3">
      <c r="B16" s="58">
        <v>9</v>
      </c>
      <c r="C16" s="32" t="s">
        <v>431</v>
      </c>
      <c r="D16" s="47">
        <f>SUMPRODUCT(--(STRIDE_DREAD_Template!$C$5:$C$44&lt;&gt;""),--((STRIDE_DREAD_Template!$J$5:$J$44="")+(STRIDE_DREAD_Template!$J$5:$J$44=0)&gt;0))</f>
        <v>0</v>
      </c>
      <c r="E16" s="47" t="str">
        <f t="shared" si="0"/>
        <v>OK</v>
      </c>
      <c r="F16" s="59" t="s">
        <v>432</v>
      </c>
    </row>
    <row r="17" spans="2:6" ht="22.05" customHeight="1" x14ac:dyDescent="0.3">
      <c r="B17" s="58">
        <v>10</v>
      </c>
      <c r="C17" s="32" t="s">
        <v>433</v>
      </c>
      <c r="D17" s="47">
        <f>SUMPRODUCT(--(STRIDE_DREAD_Template!$C$5:$C$44&lt;&gt;""),--(STRIDE_DREAD_Template!$P$5:$P$44=""))</f>
        <v>0</v>
      </c>
      <c r="E17" s="47" t="str">
        <f t="shared" si="0"/>
        <v>OK</v>
      </c>
      <c r="F17" s="59" t="s">
        <v>434</v>
      </c>
    </row>
    <row r="18" spans="2:6" ht="22.05" customHeight="1" x14ac:dyDescent="0.3">
      <c r="B18" s="58">
        <v>11</v>
      </c>
      <c r="C18" s="32" t="s">
        <v>435</v>
      </c>
      <c r="D18" s="47">
        <f>SUMPRODUCT(--(STRIDE_DREAD_Template!$C$5:$C$44=""),--(STRIDE_DREAD_Template!$P$5:$P$44&lt;&gt;""))</f>
        <v>0</v>
      </c>
      <c r="E18" s="47" t="str">
        <f t="shared" si="0"/>
        <v>OK</v>
      </c>
      <c r="F18" s="59" t="s">
        <v>436</v>
      </c>
    </row>
    <row r="19" spans="2:6" ht="19.95" customHeight="1" x14ac:dyDescent="0.3">
      <c r="B19" s="100" t="s">
        <v>437</v>
      </c>
      <c r="C19" s="66"/>
      <c r="D19" s="66"/>
      <c r="E19" s="66"/>
      <c r="F19" s="66"/>
    </row>
    <row r="20" spans="2:6" ht="22.05" customHeight="1" x14ac:dyDescent="0.3">
      <c r="B20" s="58">
        <v>12</v>
      </c>
      <c r="C20" s="32" t="s">
        <v>438</v>
      </c>
      <c r="D20" s="47">
        <f>COUNTIF(STRIDE_DREAD_Template!$J$5:$J$44,"&gt;=4")</f>
        <v>0</v>
      </c>
      <c r="E20" s="47" t="str">
        <f>IF($D$12=0,"-",IF(D20=0,"OK","PERIKSA"))</f>
        <v>OK</v>
      </c>
      <c r="F20" s="59" t="s">
        <v>439</v>
      </c>
    </row>
    <row r="21" spans="2:6" ht="29.85" customHeight="1" x14ac:dyDescent="0.3">
      <c r="B21" s="58">
        <v>13</v>
      </c>
      <c r="C21" s="32" t="s">
        <v>440</v>
      </c>
      <c r="D21" s="60">
        <f>IFERROR(SUM(STRIDE_DREAD_Template!$I$5:$I$44)/COUNTA(STRIDE_DREAD_Template!$C$5:$C$44),0)</f>
        <v>0.2</v>
      </c>
      <c r="E21" s="47" t="str">
        <f>IF($D$12=0,"-",IF(D21&lt;0.5,"OK","PERIKSA"))</f>
        <v>OK</v>
      </c>
      <c r="F21" s="59" t="s">
        <v>441</v>
      </c>
    </row>
    <row r="22" spans="2:6" ht="29.85" customHeight="1" x14ac:dyDescent="0.3">
      <c r="B22" s="58">
        <v>14</v>
      </c>
      <c r="C22" s="32" t="s">
        <v>442</v>
      </c>
      <c r="D22" s="47">
        <f>(Ringkasan!C5&gt;0)+(Ringkasan!C6&gt;0)+(Ringkasan!C7&gt;0)+(Ringkasan!C8&gt;0)</f>
        <v>3</v>
      </c>
      <c r="E22" s="47" t="str">
        <f>IF($D$12=0,"-",IF(D22&gt;=2,"OK","PERIKSA"))</f>
        <v>OK</v>
      </c>
      <c r="F22" s="59" t="s">
        <v>443</v>
      </c>
    </row>
    <row r="23" spans="2:6" ht="29.85" customHeight="1" x14ac:dyDescent="0.3">
      <c r="B23" s="58">
        <v>15</v>
      </c>
      <c r="C23" s="32" t="s">
        <v>444</v>
      </c>
      <c r="D23" s="47">
        <f>IF(COUNT(STRIDE_DREAD_Template!$P$5:$P$44)&lt;2,0,MAX(STRIDE_DREAD_Template!$P$5:$P$44)-MIN(STRIDE_DREAD_Template!$P$5:$P$44))</f>
        <v>34</v>
      </c>
      <c r="E23" s="47" t="str">
        <f>IF($D$12=0,"-",IF(D23&gt;=6,"OK","PERIKSA"))</f>
        <v>OK</v>
      </c>
      <c r="F23" s="59" t="s">
        <v>445</v>
      </c>
    </row>
    <row r="24" spans="2:6" ht="22.05" customHeight="1" x14ac:dyDescent="0.3">
      <c r="B24" s="58">
        <v>16</v>
      </c>
      <c r="C24" s="32" t="s">
        <v>446</v>
      </c>
      <c r="D24" s="47">
        <f>SUMPRODUCT(--(STRIDE_DREAD_Template!$C$5:$C$44&lt;&gt;""),--(STRIDE_DREAD_Template!$K$5:$K$44=STRIDE_DREAD_Template!$L$5:$L$44),--(STRIDE_DREAD_Template!$L$5:$L$44=STRIDE_DREAD_Template!$M$5:$M$44),--(STRIDE_DREAD_Template!$M$5:$M$44=STRIDE_DREAD_Template!$N$5:$N$44),--(STRIDE_DREAD_Template!$N$5:$N$44=STRIDE_DREAD_Template!$O$5:$O$44),--(STRIDE_DREAD_Template!$K$5:$K$44&lt;&gt;""))</f>
        <v>0</v>
      </c>
      <c r="E24" s="47" t="str">
        <f>IF($D$12=0,"-",IF(D24=0,"OK","PERIKSA"))</f>
        <v>OK</v>
      </c>
      <c r="F24" s="59" t="s">
        <v>447</v>
      </c>
    </row>
    <row r="25" spans="2:6" ht="19.95" customHeight="1" x14ac:dyDescent="0.3">
      <c r="B25" s="100" t="s">
        <v>448</v>
      </c>
      <c r="C25" s="66"/>
      <c r="D25" s="66"/>
      <c r="E25" s="66"/>
      <c r="F25" s="66"/>
    </row>
    <row r="26" spans="2:6" ht="22.05" customHeight="1" x14ac:dyDescent="0.3">
      <c r="B26" s="58">
        <v>17</v>
      </c>
      <c r="C26" s="32" t="s">
        <v>449</v>
      </c>
      <c r="D26" s="47">
        <f>SUMPRODUCT(--(STRIDE_DREAD_Template!$C$5:$C$44&lt;&gt;""),--(STRIDE_DREAD_Template!$S$5:$S$44=""))</f>
        <v>0</v>
      </c>
      <c r="E26" s="47" t="str">
        <f>IF($D$12=0,"-",IF(D26=0,"OK","PERIKSA"))</f>
        <v>OK</v>
      </c>
      <c r="F26" s="59" t="s">
        <v>450</v>
      </c>
    </row>
    <row r="27" spans="2:6" ht="29.85" customHeight="1" x14ac:dyDescent="0.3">
      <c r="B27" s="58">
        <v>18</v>
      </c>
      <c r="C27" s="32" t="s">
        <v>451</v>
      </c>
      <c r="D27" s="47">
        <f>SUMPRODUCT(--(STRIDE_DREAD_Template!$C$5:$C$44&lt;&gt;""),--(STRIDE_DREAD_Template!$T$5:$T$44=""))</f>
        <v>0</v>
      </c>
      <c r="E27" s="47" t="str">
        <f>IF($D$12=0,"-",IF(D27=0,"OK","PERIKSA"))</f>
        <v>OK</v>
      </c>
      <c r="F27" s="59" t="s">
        <v>452</v>
      </c>
    </row>
    <row r="28" spans="2:6" ht="22.05" customHeight="1" x14ac:dyDescent="0.3">
      <c r="B28" s="58">
        <v>19</v>
      </c>
      <c r="C28" s="32" t="s">
        <v>453</v>
      </c>
      <c r="D28" s="47">
        <f>SUMPRODUCT(--(STRIDE_DREAD_Template!$C$5:$C$44&lt;&gt;""),--(STRIDE_DREAD_Template!$U$5:$U$44=""))</f>
        <v>0</v>
      </c>
      <c r="E28" s="47" t="str">
        <f>IF($D$12=0,"-",IF(D28=0,"OK","PERIKSA"))</f>
        <v>OK</v>
      </c>
      <c r="F28" s="59" t="s">
        <v>454</v>
      </c>
    </row>
    <row r="30" spans="2:6" ht="28.05" customHeight="1" x14ac:dyDescent="0.3">
      <c r="C30" s="61" t="s">
        <v>455</v>
      </c>
      <c r="D30" s="101" t="str">
        <f>IF(COUNTIF(E6:E28,"PERIKSA")=0,IF(COUNTIF(E6:E28,"OK")=0,"Belum ada isian yang bisa diperiksa","SEMUA OK: siap dikumpulkan (periksa sekali lagi sebelum kirim)"),COUNTIF(E6:E28,"PERIKSA")&amp;" butir masih PERIKSA: perbaiki dulu")</f>
        <v>SEMUA OK: siap dikumpulkan (periksa sekali lagi sebelum kirim)</v>
      </c>
      <c r="E30" s="75"/>
      <c r="F30" s="76"/>
    </row>
  </sheetData>
  <sheetProtection sheet="1" formatCells="0" formatColumns="0" formatRows="0" sort="0" autoFilter="0"/>
  <mergeCells count="7">
    <mergeCell ref="D30:F30"/>
    <mergeCell ref="B6:F6"/>
    <mergeCell ref="B2:F2"/>
    <mergeCell ref="B11:F11"/>
    <mergeCell ref="B25:F25"/>
    <mergeCell ref="B3:F3"/>
    <mergeCell ref="B19:F19"/>
  </mergeCells>
  <conditionalFormatting sqref="E6:E28">
    <cfRule type="cellIs" dxfId="2" priority="1" operator="equal">
      <formula>"OK"</formula>
    </cfRule>
    <cfRule type="cellIs" dxfId="1" priority="2" operator="equal">
      <formula>"PERIKSA"</formula>
    </cfRule>
    <cfRule type="cellIs" dxfId="0" priority="3" operator="equal">
      <formula>"-"</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B2:C22"/>
  <sheetViews>
    <sheetView showGridLines="0" zoomScaleNormal="100" workbookViewId="0"/>
  </sheetViews>
  <sheetFormatPr defaultColWidth="8.6640625" defaultRowHeight="14.4" x14ac:dyDescent="0.3"/>
  <cols>
    <col min="1" max="1" width="3" customWidth="1"/>
    <col min="2" max="2" width="30" customWidth="1"/>
    <col min="3" max="3" width="34" customWidth="1"/>
  </cols>
  <sheetData>
    <row r="2" spans="2:3" ht="22.95" customHeight="1" x14ac:dyDescent="0.4">
      <c r="B2" s="11" t="s">
        <v>456</v>
      </c>
    </row>
    <row r="4" spans="2:3" x14ac:dyDescent="0.3">
      <c r="B4" s="4" t="s">
        <v>352</v>
      </c>
      <c r="C4" s="4" t="s">
        <v>457</v>
      </c>
    </row>
    <row r="5" spans="2:3" x14ac:dyDescent="0.3">
      <c r="B5" s="12" t="s">
        <v>458</v>
      </c>
      <c r="C5" s="13">
        <f>COUNTIF(STRIDE_DREAD_Template!$Q$5:$Q$44,B5)</f>
        <v>2</v>
      </c>
    </row>
    <row r="6" spans="2:3" x14ac:dyDescent="0.3">
      <c r="B6" s="14" t="s">
        <v>459</v>
      </c>
      <c r="C6" s="13">
        <f>COUNTIF(STRIDE_DREAD_Template!$Q$5:$Q$44,B6)</f>
        <v>7</v>
      </c>
    </row>
    <row r="7" spans="2:3" x14ac:dyDescent="0.3">
      <c r="B7" s="15" t="s">
        <v>460</v>
      </c>
      <c r="C7" s="13">
        <f>COUNTIF(STRIDE_DREAD_Template!$Q$5:$Q$44,B7)</f>
        <v>0</v>
      </c>
    </row>
    <row r="8" spans="2:3" x14ac:dyDescent="0.3">
      <c r="B8" s="16" t="s">
        <v>461</v>
      </c>
      <c r="C8" s="13">
        <f>COUNTIF(STRIDE_DREAD_Template!$Q$5:$Q$44,B8)</f>
        <v>1</v>
      </c>
    </row>
    <row r="9" spans="2:3" x14ac:dyDescent="0.3">
      <c r="B9" s="17" t="s">
        <v>462</v>
      </c>
      <c r="C9" s="17">
        <f>SUM(C5:C8)</f>
        <v>10</v>
      </c>
    </row>
    <row r="11" spans="2:3" x14ac:dyDescent="0.3">
      <c r="B11" s="4" t="s">
        <v>463</v>
      </c>
      <c r="C11" s="4" t="s">
        <v>457</v>
      </c>
    </row>
    <row r="12" spans="2:3" x14ac:dyDescent="0.3">
      <c r="B12" s="18" t="s">
        <v>464</v>
      </c>
      <c r="C12" s="13">
        <f>SUM(STRIDE_DREAD_Template!D5:D44)</f>
        <v>2</v>
      </c>
    </row>
    <row r="13" spans="2:3" x14ac:dyDescent="0.3">
      <c r="B13" s="18" t="s">
        <v>465</v>
      </c>
      <c r="C13" s="13">
        <f>SUM(STRIDE_DREAD_Template!E5:E44)</f>
        <v>6</v>
      </c>
    </row>
    <row r="14" spans="2:3" x14ac:dyDescent="0.3">
      <c r="B14" s="18" t="s">
        <v>466</v>
      </c>
      <c r="C14" s="13">
        <f>SUM(STRIDE_DREAD_Template!F5:F44)</f>
        <v>0</v>
      </c>
    </row>
    <row r="15" spans="2:3" x14ac:dyDescent="0.3">
      <c r="B15" s="18" t="s">
        <v>467</v>
      </c>
      <c r="C15" s="13">
        <f>SUM(STRIDE_DREAD_Template!G5:G44)</f>
        <v>5</v>
      </c>
    </row>
    <row r="16" spans="2:3" x14ac:dyDescent="0.3">
      <c r="B16" s="18" t="s">
        <v>468</v>
      </c>
      <c r="C16" s="13">
        <f>SUM(STRIDE_DREAD_Template!H5:H44)</f>
        <v>2</v>
      </c>
    </row>
    <row r="17" spans="2:3" x14ac:dyDescent="0.3">
      <c r="B17" s="18" t="s">
        <v>469</v>
      </c>
      <c r="C17" s="13">
        <f>SUM(STRIDE_DREAD_Template!I5:I44)</f>
        <v>2</v>
      </c>
    </row>
    <row r="19" spans="2:3" x14ac:dyDescent="0.3">
      <c r="B19" s="4" t="s">
        <v>470</v>
      </c>
      <c r="C19" s="4" t="s">
        <v>471</v>
      </c>
    </row>
    <row r="20" spans="2:3" x14ac:dyDescent="0.3">
      <c r="B20" s="18" t="s">
        <v>472</v>
      </c>
      <c r="C20" s="19">
        <f>IFERROR(AVERAGE(STRIDE_DREAD_Template!P5:P44),0)</f>
        <v>33.799999999999997</v>
      </c>
    </row>
    <row r="21" spans="2:3" x14ac:dyDescent="0.3">
      <c r="B21" s="18" t="s">
        <v>473</v>
      </c>
      <c r="C21" s="20">
        <f>IF(COUNT(STRIDE_DREAD_Template!P5:P44)=0,0,MAX(STRIDE_DREAD_Template!P5:P44))</f>
        <v>40</v>
      </c>
    </row>
    <row r="22" spans="2:3" x14ac:dyDescent="0.3">
      <c r="B22" s="18" t="s">
        <v>474</v>
      </c>
      <c r="C22" s="21" t="str">
        <f>IFERROR(INDEX(STRIDE_DREAD_Template!C5:C44,MATCH(1,STRIDE_DREAD_Template!R5:R44,0)),"-")</f>
        <v>Penyerang yang terautentikasi memanipulasi parameter order_id pada endpoint status booking di BookingController tanpa verifikasi kepemilikan akun, sehingga dapat mengubah status pesanan milik pengguna lain secara sepihak.</v>
      </c>
    </row>
  </sheetData>
  <sheetProtection sheet="1" formatCells="0" formatColumns="0" formatRows="0" sort="0" autoFilter="0"/>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G15"/>
  <sheetViews>
    <sheetView showGridLines="0" zoomScaleNormal="100" workbookViewId="0"/>
  </sheetViews>
  <sheetFormatPr defaultColWidth="8.6640625" defaultRowHeight="14.4" x14ac:dyDescent="0.3"/>
  <cols>
    <col min="1" max="1" width="28" customWidth="1"/>
    <col min="2" max="2" width="38" customWidth="1"/>
    <col min="3" max="3" width="40" customWidth="1"/>
    <col min="4" max="4" width="28" customWidth="1"/>
    <col min="5" max="5" width="42" customWidth="1"/>
    <col min="6" max="7" width="52" customWidth="1"/>
  </cols>
  <sheetData>
    <row r="1" spans="1:7" ht="19.95" customHeight="1" x14ac:dyDescent="0.4">
      <c r="A1" s="22" t="s">
        <v>475</v>
      </c>
    </row>
    <row r="3" spans="1:7" ht="28.05" customHeight="1" x14ac:dyDescent="0.3">
      <c r="A3" s="3" t="s">
        <v>476</v>
      </c>
      <c r="B3" s="3" t="s">
        <v>477</v>
      </c>
      <c r="C3" s="3" t="s">
        <v>478</v>
      </c>
      <c r="D3" s="3" t="s">
        <v>479</v>
      </c>
      <c r="E3" s="3" t="s">
        <v>480</v>
      </c>
      <c r="F3" s="3" t="s">
        <v>481</v>
      </c>
      <c r="G3" s="3" t="s">
        <v>482</v>
      </c>
    </row>
    <row r="4" spans="1:7" ht="61.95" customHeight="1" x14ac:dyDescent="0.3">
      <c r="A4" s="23" t="s">
        <v>483</v>
      </c>
      <c r="B4" s="18" t="s">
        <v>484</v>
      </c>
      <c r="C4" s="18" t="s">
        <v>485</v>
      </c>
      <c r="D4" s="18" t="s">
        <v>486</v>
      </c>
      <c r="E4" s="18" t="s">
        <v>487</v>
      </c>
      <c r="F4" s="18" t="s">
        <v>488</v>
      </c>
      <c r="G4" s="18" t="s">
        <v>489</v>
      </c>
    </row>
    <row r="5" spans="1:7" ht="61.95" customHeight="1" x14ac:dyDescent="0.3">
      <c r="A5" s="24" t="s">
        <v>490</v>
      </c>
      <c r="B5" s="25" t="s">
        <v>491</v>
      </c>
      <c r="C5" s="25" t="s">
        <v>492</v>
      </c>
      <c r="D5" s="25" t="s">
        <v>493</v>
      </c>
      <c r="E5" s="25" t="s">
        <v>494</v>
      </c>
      <c r="F5" s="25" t="s">
        <v>495</v>
      </c>
      <c r="G5" s="25" t="s">
        <v>496</v>
      </c>
    </row>
    <row r="6" spans="1:7" ht="61.95" customHeight="1" x14ac:dyDescent="0.3">
      <c r="A6" s="23" t="s">
        <v>497</v>
      </c>
      <c r="B6" s="18" t="s">
        <v>498</v>
      </c>
      <c r="C6" s="18" t="s">
        <v>499</v>
      </c>
      <c r="D6" s="18" t="s">
        <v>500</v>
      </c>
      <c r="E6" s="18" t="s">
        <v>501</v>
      </c>
      <c r="F6" s="18" t="s">
        <v>502</v>
      </c>
      <c r="G6" s="18" t="s">
        <v>503</v>
      </c>
    </row>
    <row r="7" spans="1:7" ht="61.95" customHeight="1" x14ac:dyDescent="0.3">
      <c r="A7" s="24" t="s">
        <v>504</v>
      </c>
      <c r="B7" s="25" t="s">
        <v>505</v>
      </c>
      <c r="C7" s="25" t="s">
        <v>506</v>
      </c>
      <c r="D7" s="25" t="s">
        <v>507</v>
      </c>
      <c r="E7" s="25" t="s">
        <v>508</v>
      </c>
      <c r="F7" s="25" t="s">
        <v>509</v>
      </c>
      <c r="G7" s="25" t="s">
        <v>510</v>
      </c>
    </row>
    <row r="8" spans="1:7" ht="61.95" customHeight="1" x14ac:dyDescent="0.3">
      <c r="A8" s="23" t="s">
        <v>511</v>
      </c>
      <c r="B8" s="18" t="s">
        <v>512</v>
      </c>
      <c r="C8" s="18" t="s">
        <v>513</v>
      </c>
      <c r="D8" s="18" t="s">
        <v>514</v>
      </c>
      <c r="E8" s="18" t="s">
        <v>515</v>
      </c>
      <c r="F8" s="18" t="s">
        <v>516</v>
      </c>
      <c r="G8" s="18" t="s">
        <v>517</v>
      </c>
    </row>
    <row r="9" spans="1:7" ht="61.95" customHeight="1" x14ac:dyDescent="0.3">
      <c r="A9" s="24" t="s">
        <v>518</v>
      </c>
      <c r="B9" s="25" t="s">
        <v>519</v>
      </c>
      <c r="C9" s="25" t="s">
        <v>520</v>
      </c>
      <c r="D9" s="25" t="s">
        <v>521</v>
      </c>
      <c r="E9" s="25" t="s">
        <v>522</v>
      </c>
      <c r="F9" s="25" t="s">
        <v>523</v>
      </c>
      <c r="G9" s="25" t="s">
        <v>524</v>
      </c>
    </row>
    <row r="11" spans="1:7" x14ac:dyDescent="0.3">
      <c r="A11" s="62" t="s">
        <v>525</v>
      </c>
    </row>
    <row r="12" spans="1:7" x14ac:dyDescent="0.3">
      <c r="A12" s="63" t="s">
        <v>526</v>
      </c>
    </row>
    <row r="13" spans="1:7" x14ac:dyDescent="0.3">
      <c r="A13" s="63" t="s">
        <v>527</v>
      </c>
    </row>
    <row r="14" spans="1:7" x14ac:dyDescent="0.3">
      <c r="A14" s="63" t="s">
        <v>528</v>
      </c>
    </row>
    <row r="15" spans="1:7" x14ac:dyDescent="0.3">
      <c r="A15" s="63" t="s">
        <v>529</v>
      </c>
    </row>
  </sheetData>
  <sheetProtection sheet="1" formatCells="0" formatColumns="0" formatRows="0" sort="0" autoFilter="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5A11"/>
  </sheetPr>
  <dimension ref="A1:F28"/>
  <sheetViews>
    <sheetView showGridLines="0" zoomScaleNormal="100" workbookViewId="0">
      <selection activeCell="H14" sqref="H14"/>
    </sheetView>
  </sheetViews>
  <sheetFormatPr defaultColWidth="8.6640625" defaultRowHeight="14.4" x14ac:dyDescent="0.3"/>
  <cols>
    <col min="1" max="1" width="22" customWidth="1"/>
    <col min="2" max="2" width="40" customWidth="1"/>
    <col min="3" max="4" width="30" customWidth="1"/>
    <col min="5" max="6" width="22" customWidth="1"/>
  </cols>
  <sheetData>
    <row r="1" spans="1:6" ht="19.95" customHeight="1" x14ac:dyDescent="0.4">
      <c r="A1" s="22" t="s">
        <v>530</v>
      </c>
    </row>
    <row r="3" spans="1:6" x14ac:dyDescent="0.3">
      <c r="A3" s="2" t="s">
        <v>531</v>
      </c>
      <c r="B3" s="2" t="s">
        <v>532</v>
      </c>
      <c r="C3" s="2" t="s">
        <v>533</v>
      </c>
      <c r="D3" s="2" t="s">
        <v>534</v>
      </c>
      <c r="E3" s="2" t="s">
        <v>535</v>
      </c>
      <c r="F3" s="2" t="s">
        <v>536</v>
      </c>
    </row>
    <row r="4" spans="1:6" ht="33.75" customHeight="1" x14ac:dyDescent="0.3">
      <c r="A4" s="23" t="s">
        <v>117</v>
      </c>
      <c r="B4" s="18" t="s">
        <v>537</v>
      </c>
      <c r="C4" s="18" t="s">
        <v>538</v>
      </c>
      <c r="D4" s="18" t="s">
        <v>539</v>
      </c>
      <c r="E4" s="18" t="s">
        <v>540</v>
      </c>
      <c r="F4" s="18" t="s">
        <v>541</v>
      </c>
    </row>
    <row r="5" spans="1:6" ht="33.75" customHeight="1" x14ac:dyDescent="0.3">
      <c r="A5" s="26" t="s">
        <v>542</v>
      </c>
      <c r="B5" s="27" t="s">
        <v>543</v>
      </c>
      <c r="C5" s="27" t="s">
        <v>544</v>
      </c>
      <c r="D5" s="27" t="s">
        <v>545</v>
      </c>
      <c r="E5" s="27" t="s">
        <v>546</v>
      </c>
      <c r="F5" s="27" t="s">
        <v>547</v>
      </c>
    </row>
    <row r="6" spans="1:6" ht="33.75" customHeight="1" x14ac:dyDescent="0.3">
      <c r="A6" s="23" t="s">
        <v>548</v>
      </c>
      <c r="B6" s="18" t="s">
        <v>549</v>
      </c>
      <c r="C6" s="18" t="s">
        <v>550</v>
      </c>
      <c r="D6" s="18" t="s">
        <v>551</v>
      </c>
      <c r="E6" s="18" t="s">
        <v>552</v>
      </c>
      <c r="F6" s="18" t="s">
        <v>547</v>
      </c>
    </row>
    <row r="7" spans="1:6" ht="33.75" customHeight="1" x14ac:dyDescent="0.3">
      <c r="A7" s="26" t="s">
        <v>553</v>
      </c>
      <c r="B7" s="27" t="s">
        <v>554</v>
      </c>
      <c r="C7" s="27" t="s">
        <v>555</v>
      </c>
      <c r="D7" s="27" t="s">
        <v>556</v>
      </c>
      <c r="E7" s="27" t="s">
        <v>557</v>
      </c>
      <c r="F7" s="27" t="s">
        <v>558</v>
      </c>
    </row>
    <row r="8" spans="1:6" ht="33.75" customHeight="1" x14ac:dyDescent="0.3">
      <c r="A8" s="23" t="s">
        <v>559</v>
      </c>
      <c r="B8" s="18" t="s">
        <v>560</v>
      </c>
      <c r="C8" s="18" t="s">
        <v>561</v>
      </c>
      <c r="D8" s="18" t="s">
        <v>562</v>
      </c>
      <c r="E8" s="18" t="s">
        <v>563</v>
      </c>
      <c r="F8" s="18" t="s">
        <v>564</v>
      </c>
    </row>
    <row r="11" spans="1:6" ht="16.5" customHeight="1" x14ac:dyDescent="0.3">
      <c r="A11" s="28" t="s">
        <v>565</v>
      </c>
    </row>
    <row r="12" spans="1:6" x14ac:dyDescent="0.3">
      <c r="A12" s="1" t="s">
        <v>123</v>
      </c>
      <c r="B12" s="1" t="s">
        <v>566</v>
      </c>
    </row>
    <row r="13" spans="1:6" x14ac:dyDescent="0.3">
      <c r="A13" s="12" t="s">
        <v>458</v>
      </c>
      <c r="B13" s="29">
        <v>40</v>
      </c>
    </row>
    <row r="14" spans="1:6" x14ac:dyDescent="0.3">
      <c r="A14" s="14" t="s">
        <v>459</v>
      </c>
      <c r="B14" s="29">
        <v>30</v>
      </c>
    </row>
    <row r="15" spans="1:6" x14ac:dyDescent="0.3">
      <c r="A15" s="15" t="s">
        <v>460</v>
      </c>
      <c r="B15" s="29">
        <v>20</v>
      </c>
    </row>
    <row r="16" spans="1:6" x14ac:dyDescent="0.3">
      <c r="A16" s="16" t="s">
        <v>461</v>
      </c>
      <c r="B16" s="29">
        <v>0</v>
      </c>
    </row>
    <row r="18" spans="1:6" x14ac:dyDescent="0.3">
      <c r="A18" s="5" t="s">
        <v>567</v>
      </c>
    </row>
    <row r="20" spans="1:6" ht="16.8" x14ac:dyDescent="0.3">
      <c r="A20" s="64" t="s">
        <v>568</v>
      </c>
    </row>
    <row r="21" spans="1:6" x14ac:dyDescent="0.3">
      <c r="A21" s="2" t="s">
        <v>531</v>
      </c>
      <c r="B21" s="2" t="s">
        <v>569</v>
      </c>
      <c r="C21" s="2" t="s">
        <v>570</v>
      </c>
      <c r="D21" s="2" t="s">
        <v>571</v>
      </c>
    </row>
    <row r="22" spans="1:6" ht="48" customHeight="1" x14ac:dyDescent="0.3">
      <c r="A22" s="23" t="s">
        <v>117</v>
      </c>
      <c r="B22" s="18" t="s">
        <v>572</v>
      </c>
      <c r="C22" s="18" t="s">
        <v>573</v>
      </c>
      <c r="D22" s="18" t="s">
        <v>574</v>
      </c>
    </row>
    <row r="23" spans="1:6" ht="48" customHeight="1" x14ac:dyDescent="0.3">
      <c r="A23" s="23" t="s">
        <v>542</v>
      </c>
      <c r="B23" s="18" t="s">
        <v>575</v>
      </c>
      <c r="C23" s="18" t="s">
        <v>576</v>
      </c>
      <c r="D23" s="18" t="s">
        <v>577</v>
      </c>
    </row>
    <row r="24" spans="1:6" ht="48" customHeight="1" x14ac:dyDescent="0.3">
      <c r="A24" s="23" t="s">
        <v>548</v>
      </c>
      <c r="B24" s="18" t="s">
        <v>578</v>
      </c>
      <c r="C24" s="18" t="s">
        <v>579</v>
      </c>
      <c r="D24" s="18" t="s">
        <v>580</v>
      </c>
    </row>
    <row r="25" spans="1:6" ht="48" customHeight="1" x14ac:dyDescent="0.3">
      <c r="A25" s="23" t="s">
        <v>553</v>
      </c>
      <c r="B25" s="18" t="s">
        <v>581</v>
      </c>
      <c r="C25" s="18" t="s">
        <v>582</v>
      </c>
      <c r="D25" s="18" t="s">
        <v>583</v>
      </c>
    </row>
    <row r="26" spans="1:6" ht="48" customHeight="1" x14ac:dyDescent="0.3">
      <c r="A26" s="23" t="s">
        <v>559</v>
      </c>
      <c r="B26" s="18" t="s">
        <v>584</v>
      </c>
      <c r="C26" s="18" t="s">
        <v>585</v>
      </c>
      <c r="D26" s="18" t="s">
        <v>586</v>
      </c>
    </row>
    <row r="28" spans="1:6" ht="55.95" customHeight="1" x14ac:dyDescent="0.3">
      <c r="A28" s="102" t="s">
        <v>587</v>
      </c>
      <c r="B28" s="66"/>
      <c r="C28" s="66"/>
      <c r="D28" s="66"/>
      <c r="E28" s="66"/>
      <c r="F28" s="66"/>
    </row>
  </sheetData>
  <sheetProtection sheet="1" formatCells="0" formatColumns="0" formatRows="0" sort="0" autoFilter="0"/>
  <mergeCells count="1">
    <mergeCell ref="A28:F2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pageSetUpPr fitToPage="1"/>
  </sheetPr>
  <dimension ref="A1:E72"/>
  <sheetViews>
    <sheetView showGridLines="0" workbookViewId="0">
      <pane ySplit="3" topLeftCell="A4" activePane="bottomLeft" state="frozen"/>
      <selection pane="bottomLeft" activeCell="A4" sqref="A4"/>
    </sheetView>
  </sheetViews>
  <sheetFormatPr defaultRowHeight="14.4" x14ac:dyDescent="0.3"/>
  <cols>
    <col min="1" max="1" width="5" customWidth="1"/>
    <col min="2" max="2" width="30" customWidth="1"/>
    <col min="3" max="3" width="15" customWidth="1"/>
    <col min="4" max="4" width="72" customWidth="1"/>
    <col min="5" max="5" width="52" customWidth="1"/>
  </cols>
  <sheetData>
    <row r="1" spans="1:5" ht="24" customHeight="1" x14ac:dyDescent="0.4">
      <c r="A1" s="22" t="s">
        <v>588</v>
      </c>
    </row>
    <row r="2" spans="1:5" x14ac:dyDescent="0.3">
      <c r="A2" s="30" t="s">
        <v>589</v>
      </c>
    </row>
    <row r="3" spans="1:5" ht="28.05" customHeight="1" x14ac:dyDescent="0.3">
      <c r="A3" s="3" t="s">
        <v>337</v>
      </c>
      <c r="B3" s="3" t="s">
        <v>590</v>
      </c>
      <c r="C3" s="3" t="s">
        <v>476</v>
      </c>
      <c r="D3" s="3" t="s">
        <v>591</v>
      </c>
      <c r="E3" s="3" t="s">
        <v>592</v>
      </c>
    </row>
    <row r="4" spans="1:5" ht="36" customHeight="1" x14ac:dyDescent="0.3">
      <c r="A4" s="13">
        <v>1</v>
      </c>
      <c r="B4" s="23" t="s">
        <v>593</v>
      </c>
      <c r="C4" s="18" t="s">
        <v>594</v>
      </c>
      <c r="D4" s="18" t="s">
        <v>595</v>
      </c>
      <c r="E4" s="18" t="s">
        <v>596</v>
      </c>
    </row>
    <row r="5" spans="1:5" ht="36" customHeight="1" x14ac:dyDescent="0.3">
      <c r="A5" s="13">
        <v>2</v>
      </c>
      <c r="B5" s="24" t="s">
        <v>597</v>
      </c>
      <c r="C5" s="25" t="s">
        <v>594</v>
      </c>
      <c r="D5" s="25" t="s">
        <v>598</v>
      </c>
      <c r="E5" s="25" t="s">
        <v>599</v>
      </c>
    </row>
    <row r="6" spans="1:5" ht="36" customHeight="1" x14ac:dyDescent="0.3">
      <c r="A6" s="13">
        <v>3</v>
      </c>
      <c r="B6" s="23" t="s">
        <v>600</v>
      </c>
      <c r="C6" s="18" t="s">
        <v>594</v>
      </c>
      <c r="D6" s="18" t="s">
        <v>601</v>
      </c>
      <c r="E6" s="18" t="s">
        <v>602</v>
      </c>
    </row>
    <row r="7" spans="1:5" ht="22.05" customHeight="1" x14ac:dyDescent="0.3">
      <c r="A7" s="13">
        <v>4</v>
      </c>
      <c r="B7" s="24" t="s">
        <v>603</v>
      </c>
      <c r="C7" s="25" t="s">
        <v>594</v>
      </c>
      <c r="D7" s="25" t="s">
        <v>604</v>
      </c>
      <c r="E7" s="25" t="s">
        <v>605</v>
      </c>
    </row>
    <row r="8" spans="1:5" ht="36" customHeight="1" x14ac:dyDescent="0.3">
      <c r="A8" s="13">
        <v>5</v>
      </c>
      <c r="B8" s="23" t="s">
        <v>606</v>
      </c>
      <c r="C8" s="18" t="s">
        <v>594</v>
      </c>
      <c r="D8" s="18" t="s">
        <v>607</v>
      </c>
      <c r="E8" s="18" t="s">
        <v>608</v>
      </c>
    </row>
    <row r="9" spans="1:5" ht="36" customHeight="1" x14ac:dyDescent="0.3">
      <c r="A9" s="13">
        <v>6</v>
      </c>
      <c r="B9" s="24" t="s">
        <v>609</v>
      </c>
      <c r="C9" s="25" t="s">
        <v>594</v>
      </c>
      <c r="D9" s="25" t="s">
        <v>610</v>
      </c>
      <c r="E9" s="25" t="s">
        <v>611</v>
      </c>
    </row>
    <row r="10" spans="1:5" ht="22.05" customHeight="1" x14ac:dyDescent="0.3">
      <c r="A10" s="13">
        <v>7</v>
      </c>
      <c r="B10" s="23" t="s">
        <v>612</v>
      </c>
      <c r="C10" s="18" t="s">
        <v>594</v>
      </c>
      <c r="D10" s="18" t="s">
        <v>613</v>
      </c>
      <c r="E10" s="18" t="s">
        <v>614</v>
      </c>
    </row>
    <row r="11" spans="1:5" ht="36" customHeight="1" x14ac:dyDescent="0.3">
      <c r="A11" s="13">
        <v>8</v>
      </c>
      <c r="B11" s="24" t="s">
        <v>615</v>
      </c>
      <c r="C11" s="25" t="s">
        <v>594</v>
      </c>
      <c r="D11" s="25" t="s">
        <v>616</v>
      </c>
      <c r="E11" s="25" t="s">
        <v>617</v>
      </c>
    </row>
    <row r="12" spans="1:5" ht="36" customHeight="1" x14ac:dyDescent="0.3">
      <c r="A12" s="13">
        <v>9</v>
      </c>
      <c r="B12" s="23" t="s">
        <v>618</v>
      </c>
      <c r="C12" s="18" t="s">
        <v>594</v>
      </c>
      <c r="D12" s="18" t="s">
        <v>619</v>
      </c>
      <c r="E12" s="18" t="s">
        <v>620</v>
      </c>
    </row>
    <row r="13" spans="1:5" ht="36" customHeight="1" x14ac:dyDescent="0.3">
      <c r="A13" s="13">
        <v>10</v>
      </c>
      <c r="B13" s="24" t="s">
        <v>621</v>
      </c>
      <c r="C13" s="25" t="s">
        <v>594</v>
      </c>
      <c r="D13" s="25" t="s">
        <v>622</v>
      </c>
      <c r="E13" s="25" t="s">
        <v>623</v>
      </c>
    </row>
    <row r="14" spans="1:5" ht="51" customHeight="1" x14ac:dyDescent="0.3">
      <c r="A14" s="13">
        <v>11</v>
      </c>
      <c r="B14" s="23" t="s">
        <v>155</v>
      </c>
      <c r="C14" s="18" t="s">
        <v>624</v>
      </c>
      <c r="D14" s="18" t="s">
        <v>625</v>
      </c>
      <c r="E14" s="18" t="s">
        <v>626</v>
      </c>
    </row>
    <row r="15" spans="1:5" ht="36" customHeight="1" x14ac:dyDescent="0.3">
      <c r="A15" s="13">
        <v>12</v>
      </c>
      <c r="B15" s="24" t="s">
        <v>627</v>
      </c>
      <c r="C15" s="25" t="s">
        <v>155</v>
      </c>
      <c r="D15" s="25" t="s">
        <v>628</v>
      </c>
      <c r="E15" s="25" t="s">
        <v>629</v>
      </c>
    </row>
    <row r="16" spans="1:5" ht="36" customHeight="1" x14ac:dyDescent="0.3">
      <c r="A16" s="13">
        <v>13</v>
      </c>
      <c r="B16" s="23" t="s">
        <v>630</v>
      </c>
      <c r="C16" s="18" t="s">
        <v>155</v>
      </c>
      <c r="D16" s="18" t="s">
        <v>631</v>
      </c>
      <c r="E16" s="18" t="s">
        <v>632</v>
      </c>
    </row>
    <row r="17" spans="1:5" ht="36" customHeight="1" x14ac:dyDescent="0.3">
      <c r="A17" s="13">
        <v>14</v>
      </c>
      <c r="B17" s="24" t="s">
        <v>633</v>
      </c>
      <c r="C17" s="25" t="s">
        <v>155</v>
      </c>
      <c r="D17" s="25" t="s">
        <v>634</v>
      </c>
      <c r="E17" s="25" t="s">
        <v>635</v>
      </c>
    </row>
    <row r="18" spans="1:5" ht="36" customHeight="1" x14ac:dyDescent="0.3">
      <c r="A18" s="13">
        <v>15</v>
      </c>
      <c r="B18" s="23" t="s">
        <v>636</v>
      </c>
      <c r="C18" s="18" t="s">
        <v>155</v>
      </c>
      <c r="D18" s="18" t="s">
        <v>637</v>
      </c>
      <c r="E18" s="18" t="s">
        <v>638</v>
      </c>
    </row>
    <row r="19" spans="1:5" ht="36" customHeight="1" x14ac:dyDescent="0.3">
      <c r="A19" s="13">
        <v>16</v>
      </c>
      <c r="B19" s="24" t="s">
        <v>639</v>
      </c>
      <c r="C19" s="25" t="s">
        <v>155</v>
      </c>
      <c r="D19" s="25" t="s">
        <v>640</v>
      </c>
      <c r="E19" s="25" t="s">
        <v>641</v>
      </c>
    </row>
    <row r="20" spans="1:5" ht="36" customHeight="1" x14ac:dyDescent="0.3">
      <c r="A20" s="13">
        <v>17</v>
      </c>
      <c r="B20" s="23" t="s">
        <v>642</v>
      </c>
      <c r="C20" s="18" t="s">
        <v>155</v>
      </c>
      <c r="D20" s="18" t="s">
        <v>643</v>
      </c>
      <c r="E20" s="18" t="s">
        <v>644</v>
      </c>
    </row>
    <row r="21" spans="1:5" ht="51" customHeight="1" x14ac:dyDescent="0.3">
      <c r="A21" s="13">
        <v>18</v>
      </c>
      <c r="B21" s="24" t="s">
        <v>645</v>
      </c>
      <c r="C21" s="25" t="s">
        <v>624</v>
      </c>
      <c r="D21" s="25" t="s">
        <v>646</v>
      </c>
      <c r="E21" s="25" t="s">
        <v>647</v>
      </c>
    </row>
    <row r="22" spans="1:5" ht="22.05" customHeight="1" x14ac:dyDescent="0.3">
      <c r="A22" s="13">
        <v>19</v>
      </c>
      <c r="B22" s="23" t="s">
        <v>117</v>
      </c>
      <c r="C22" s="18" t="s">
        <v>645</v>
      </c>
      <c r="D22" s="18" t="s">
        <v>648</v>
      </c>
      <c r="E22" s="18" t="s">
        <v>649</v>
      </c>
    </row>
    <row r="23" spans="1:5" ht="22.05" customHeight="1" x14ac:dyDescent="0.3">
      <c r="A23" s="13">
        <v>20</v>
      </c>
      <c r="B23" s="24" t="s">
        <v>542</v>
      </c>
      <c r="C23" s="25" t="s">
        <v>645</v>
      </c>
      <c r="D23" s="25" t="s">
        <v>650</v>
      </c>
      <c r="E23" s="25" t="s">
        <v>651</v>
      </c>
    </row>
    <row r="24" spans="1:5" ht="36" customHeight="1" x14ac:dyDescent="0.3">
      <c r="A24" s="13">
        <v>21</v>
      </c>
      <c r="B24" s="23" t="s">
        <v>548</v>
      </c>
      <c r="C24" s="18" t="s">
        <v>645</v>
      </c>
      <c r="D24" s="18" t="s">
        <v>652</v>
      </c>
      <c r="E24" s="18" t="s">
        <v>653</v>
      </c>
    </row>
    <row r="25" spans="1:5" ht="22.05" customHeight="1" x14ac:dyDescent="0.3">
      <c r="A25" s="13">
        <v>22</v>
      </c>
      <c r="B25" s="24" t="s">
        <v>553</v>
      </c>
      <c r="C25" s="25" t="s">
        <v>645</v>
      </c>
      <c r="D25" s="25" t="s">
        <v>654</v>
      </c>
      <c r="E25" s="25" t="s">
        <v>655</v>
      </c>
    </row>
    <row r="26" spans="1:5" ht="22.05" customHeight="1" x14ac:dyDescent="0.3">
      <c r="A26" s="13">
        <v>23</v>
      </c>
      <c r="B26" s="23" t="s">
        <v>559</v>
      </c>
      <c r="C26" s="18" t="s">
        <v>645</v>
      </c>
      <c r="D26" s="18" t="s">
        <v>656</v>
      </c>
      <c r="E26" s="18" t="s">
        <v>657</v>
      </c>
    </row>
    <row r="27" spans="1:5" ht="36" customHeight="1" x14ac:dyDescent="0.3">
      <c r="A27" s="13">
        <v>24</v>
      </c>
      <c r="B27" s="24" t="s">
        <v>143</v>
      </c>
      <c r="C27" s="25" t="s">
        <v>645</v>
      </c>
      <c r="D27" s="25" t="s">
        <v>658</v>
      </c>
      <c r="E27" s="25" t="s">
        <v>659</v>
      </c>
    </row>
    <row r="28" spans="1:5" ht="36" customHeight="1" x14ac:dyDescent="0.3">
      <c r="A28" s="13">
        <v>25</v>
      </c>
      <c r="B28" s="23" t="s">
        <v>660</v>
      </c>
      <c r="C28" s="18" t="s">
        <v>645</v>
      </c>
      <c r="D28" s="18" t="s">
        <v>661</v>
      </c>
      <c r="E28" s="18" t="s">
        <v>662</v>
      </c>
    </row>
    <row r="29" spans="1:5" ht="36" customHeight="1" x14ac:dyDescent="0.3">
      <c r="A29" s="13">
        <v>26</v>
      </c>
      <c r="B29" s="24" t="s">
        <v>663</v>
      </c>
      <c r="C29" s="25" t="s">
        <v>645</v>
      </c>
      <c r="D29" s="25" t="s">
        <v>664</v>
      </c>
      <c r="E29" s="25" t="s">
        <v>665</v>
      </c>
    </row>
    <row r="30" spans="1:5" ht="22.05" customHeight="1" x14ac:dyDescent="0.3">
      <c r="A30" s="13">
        <v>27</v>
      </c>
      <c r="B30" s="23" t="s">
        <v>666</v>
      </c>
      <c r="C30" s="18" t="s">
        <v>594</v>
      </c>
      <c r="D30" s="18" t="s">
        <v>667</v>
      </c>
      <c r="E30" s="18" t="s">
        <v>668</v>
      </c>
    </row>
    <row r="31" spans="1:5" ht="36" customHeight="1" x14ac:dyDescent="0.3">
      <c r="A31" s="13">
        <v>28</v>
      </c>
      <c r="B31" s="24" t="s">
        <v>669</v>
      </c>
      <c r="C31" s="25" t="s">
        <v>670</v>
      </c>
      <c r="D31" s="25" t="s">
        <v>671</v>
      </c>
      <c r="E31" s="25" t="s">
        <v>672</v>
      </c>
    </row>
    <row r="32" spans="1:5" ht="36" customHeight="1" x14ac:dyDescent="0.3">
      <c r="A32" s="13">
        <v>29</v>
      </c>
      <c r="B32" s="23" t="s">
        <v>673</v>
      </c>
      <c r="C32" s="18" t="s">
        <v>670</v>
      </c>
      <c r="D32" s="18" t="s">
        <v>674</v>
      </c>
      <c r="E32" s="18" t="s">
        <v>675</v>
      </c>
    </row>
    <row r="33" spans="1:5" ht="36" customHeight="1" x14ac:dyDescent="0.3">
      <c r="A33" s="13">
        <v>30</v>
      </c>
      <c r="B33" s="24" t="s">
        <v>676</v>
      </c>
      <c r="C33" s="25" t="s">
        <v>677</v>
      </c>
      <c r="D33" s="25" t="s">
        <v>678</v>
      </c>
      <c r="E33" s="25" t="s">
        <v>679</v>
      </c>
    </row>
    <row r="34" spans="1:5" ht="36" customHeight="1" x14ac:dyDescent="0.3">
      <c r="A34" s="13">
        <v>31</v>
      </c>
      <c r="B34" s="23" t="s">
        <v>680</v>
      </c>
      <c r="C34" s="18" t="s">
        <v>677</v>
      </c>
      <c r="D34" s="18" t="s">
        <v>681</v>
      </c>
      <c r="E34" s="18" t="s">
        <v>682</v>
      </c>
    </row>
    <row r="35" spans="1:5" ht="22.05" customHeight="1" x14ac:dyDescent="0.3">
      <c r="A35" s="13">
        <v>32</v>
      </c>
      <c r="B35" s="24" t="s">
        <v>683</v>
      </c>
      <c r="C35" s="25" t="s">
        <v>677</v>
      </c>
      <c r="D35" s="25" t="s">
        <v>684</v>
      </c>
      <c r="E35" s="25" t="s">
        <v>685</v>
      </c>
    </row>
    <row r="36" spans="1:5" ht="36" customHeight="1" x14ac:dyDescent="0.3">
      <c r="A36" s="13">
        <v>33</v>
      </c>
      <c r="B36" s="23" t="s">
        <v>686</v>
      </c>
      <c r="C36" s="18" t="s">
        <v>677</v>
      </c>
      <c r="D36" s="18" t="s">
        <v>687</v>
      </c>
      <c r="E36" s="18" t="s">
        <v>688</v>
      </c>
    </row>
    <row r="37" spans="1:5" ht="22.05" customHeight="1" x14ac:dyDescent="0.3">
      <c r="A37" s="13">
        <v>34</v>
      </c>
      <c r="B37" s="24" t="s">
        <v>486</v>
      </c>
      <c r="C37" s="25" t="s">
        <v>689</v>
      </c>
      <c r="D37" s="25" t="s">
        <v>690</v>
      </c>
      <c r="E37" s="25" t="s">
        <v>691</v>
      </c>
    </row>
    <row r="38" spans="1:5" ht="36" customHeight="1" x14ac:dyDescent="0.3">
      <c r="A38" s="13">
        <v>35</v>
      </c>
      <c r="B38" s="23" t="s">
        <v>521</v>
      </c>
      <c r="C38" s="18" t="s">
        <v>689</v>
      </c>
      <c r="D38" s="18" t="s">
        <v>692</v>
      </c>
      <c r="E38" s="18" t="s">
        <v>693</v>
      </c>
    </row>
    <row r="39" spans="1:5" ht="36" customHeight="1" x14ac:dyDescent="0.3">
      <c r="A39" s="13">
        <v>36</v>
      </c>
      <c r="B39" s="24" t="s">
        <v>694</v>
      </c>
      <c r="C39" s="25" t="s">
        <v>689</v>
      </c>
      <c r="D39" s="25" t="s">
        <v>695</v>
      </c>
      <c r="E39" s="25" t="s">
        <v>696</v>
      </c>
    </row>
    <row r="40" spans="1:5" ht="36" customHeight="1" x14ac:dyDescent="0.3">
      <c r="A40" s="13">
        <v>37</v>
      </c>
      <c r="B40" s="23" t="s">
        <v>697</v>
      </c>
      <c r="C40" s="18" t="s">
        <v>689</v>
      </c>
      <c r="D40" s="18" t="s">
        <v>698</v>
      </c>
      <c r="E40" s="18" t="s">
        <v>699</v>
      </c>
    </row>
    <row r="41" spans="1:5" ht="36" customHeight="1" x14ac:dyDescent="0.3">
      <c r="A41" s="13">
        <v>38</v>
      </c>
      <c r="B41" s="24" t="s">
        <v>500</v>
      </c>
      <c r="C41" s="25" t="s">
        <v>689</v>
      </c>
      <c r="D41" s="25" t="s">
        <v>700</v>
      </c>
      <c r="E41" s="25" t="s">
        <v>701</v>
      </c>
    </row>
    <row r="42" spans="1:5" ht="22.05" customHeight="1" x14ac:dyDescent="0.3">
      <c r="A42" s="13">
        <v>39</v>
      </c>
      <c r="B42" s="23" t="s">
        <v>702</v>
      </c>
      <c r="C42" s="18" t="s">
        <v>689</v>
      </c>
      <c r="D42" s="18" t="s">
        <v>703</v>
      </c>
      <c r="E42" s="18" t="s">
        <v>704</v>
      </c>
    </row>
    <row r="43" spans="1:5" ht="36" customHeight="1" x14ac:dyDescent="0.3">
      <c r="A43" s="13">
        <v>40</v>
      </c>
      <c r="B43" s="24" t="s">
        <v>705</v>
      </c>
      <c r="C43" s="25" t="s">
        <v>706</v>
      </c>
      <c r="D43" s="25" t="s">
        <v>707</v>
      </c>
      <c r="E43" s="25" t="s">
        <v>708</v>
      </c>
    </row>
    <row r="44" spans="1:5" ht="22.05" customHeight="1" x14ac:dyDescent="0.3">
      <c r="A44" s="13">
        <v>41</v>
      </c>
      <c r="B44" s="23" t="s">
        <v>709</v>
      </c>
      <c r="C44" s="18" t="s">
        <v>689</v>
      </c>
      <c r="D44" s="18" t="s">
        <v>710</v>
      </c>
      <c r="E44" s="18" t="s">
        <v>711</v>
      </c>
    </row>
    <row r="45" spans="1:5" ht="36" customHeight="1" x14ac:dyDescent="0.3">
      <c r="A45" s="13">
        <v>42</v>
      </c>
      <c r="B45" s="24" t="s">
        <v>712</v>
      </c>
      <c r="C45" s="25" t="s">
        <v>689</v>
      </c>
      <c r="D45" s="25" t="s">
        <v>713</v>
      </c>
      <c r="E45" s="25" t="s">
        <v>714</v>
      </c>
    </row>
    <row r="46" spans="1:5" ht="36" customHeight="1" x14ac:dyDescent="0.3">
      <c r="A46" s="13">
        <v>43</v>
      </c>
      <c r="B46" s="23" t="s">
        <v>715</v>
      </c>
      <c r="C46" s="18" t="s">
        <v>706</v>
      </c>
      <c r="D46" s="18" t="s">
        <v>716</v>
      </c>
      <c r="E46" s="18" t="s">
        <v>717</v>
      </c>
    </row>
    <row r="47" spans="1:5" ht="36" customHeight="1" x14ac:dyDescent="0.3">
      <c r="A47" s="13">
        <v>44</v>
      </c>
      <c r="B47" s="24" t="s">
        <v>718</v>
      </c>
      <c r="C47" s="25" t="s">
        <v>689</v>
      </c>
      <c r="D47" s="25" t="s">
        <v>719</v>
      </c>
      <c r="E47" s="25" t="s">
        <v>720</v>
      </c>
    </row>
    <row r="48" spans="1:5" ht="36" customHeight="1" x14ac:dyDescent="0.3">
      <c r="A48" s="13">
        <v>45</v>
      </c>
      <c r="B48" s="23" t="s">
        <v>721</v>
      </c>
      <c r="C48" s="18" t="s">
        <v>706</v>
      </c>
      <c r="D48" s="18" t="s">
        <v>722</v>
      </c>
      <c r="E48" s="18" t="s">
        <v>723</v>
      </c>
    </row>
    <row r="49" spans="1:5" ht="36" customHeight="1" x14ac:dyDescent="0.3">
      <c r="A49" s="13">
        <v>46</v>
      </c>
      <c r="B49" s="24" t="s">
        <v>724</v>
      </c>
      <c r="C49" s="25" t="s">
        <v>706</v>
      </c>
      <c r="D49" s="25" t="s">
        <v>725</v>
      </c>
      <c r="E49" s="25" t="s">
        <v>726</v>
      </c>
    </row>
    <row r="50" spans="1:5" ht="36" customHeight="1" x14ac:dyDescent="0.3">
      <c r="A50" s="13">
        <v>47</v>
      </c>
      <c r="B50" s="23" t="s">
        <v>727</v>
      </c>
      <c r="C50" s="18" t="s">
        <v>706</v>
      </c>
      <c r="D50" s="18" t="s">
        <v>728</v>
      </c>
      <c r="E50" s="18" t="s">
        <v>729</v>
      </c>
    </row>
    <row r="51" spans="1:5" ht="36" customHeight="1" x14ac:dyDescent="0.3">
      <c r="A51" s="13">
        <v>48</v>
      </c>
      <c r="B51" s="24" t="s">
        <v>730</v>
      </c>
      <c r="C51" s="25" t="s">
        <v>731</v>
      </c>
      <c r="D51" s="25" t="s">
        <v>732</v>
      </c>
      <c r="E51" s="25" t="s">
        <v>733</v>
      </c>
    </row>
    <row r="52" spans="1:5" ht="36" customHeight="1" x14ac:dyDescent="0.3">
      <c r="A52" s="13">
        <v>49</v>
      </c>
      <c r="B52" s="23" t="s">
        <v>734</v>
      </c>
      <c r="C52" s="18" t="s">
        <v>706</v>
      </c>
      <c r="D52" s="18" t="s">
        <v>735</v>
      </c>
      <c r="E52" s="18" t="s">
        <v>736</v>
      </c>
    </row>
    <row r="53" spans="1:5" ht="36" customHeight="1" x14ac:dyDescent="0.3">
      <c r="A53" s="13">
        <v>50</v>
      </c>
      <c r="B53" s="24" t="s">
        <v>737</v>
      </c>
      <c r="C53" s="25" t="s">
        <v>731</v>
      </c>
      <c r="D53" s="25" t="s">
        <v>738</v>
      </c>
      <c r="E53" s="25" t="s">
        <v>739</v>
      </c>
    </row>
    <row r="54" spans="1:5" ht="36" customHeight="1" x14ac:dyDescent="0.3">
      <c r="A54" s="13">
        <v>51</v>
      </c>
      <c r="B54" s="23" t="s">
        <v>740</v>
      </c>
      <c r="C54" s="18" t="s">
        <v>731</v>
      </c>
      <c r="D54" s="18" t="s">
        <v>741</v>
      </c>
      <c r="E54" s="18" t="s">
        <v>742</v>
      </c>
    </row>
    <row r="55" spans="1:5" ht="22.05" customHeight="1" x14ac:dyDescent="0.3">
      <c r="A55" s="13">
        <v>52</v>
      </c>
      <c r="B55" s="24" t="s">
        <v>743</v>
      </c>
      <c r="C55" s="25" t="s">
        <v>731</v>
      </c>
      <c r="D55" s="25" t="s">
        <v>744</v>
      </c>
      <c r="E55" s="25" t="s">
        <v>745</v>
      </c>
    </row>
    <row r="56" spans="1:5" ht="36" customHeight="1" x14ac:dyDescent="0.3">
      <c r="A56" s="13">
        <v>53</v>
      </c>
      <c r="B56" s="23" t="s">
        <v>746</v>
      </c>
      <c r="C56" s="18" t="s">
        <v>706</v>
      </c>
      <c r="D56" s="18" t="s">
        <v>747</v>
      </c>
      <c r="E56" s="18" t="s">
        <v>748</v>
      </c>
    </row>
    <row r="57" spans="1:5" ht="36" customHeight="1" x14ac:dyDescent="0.3">
      <c r="A57" s="13">
        <v>54</v>
      </c>
      <c r="B57" s="24" t="s">
        <v>749</v>
      </c>
      <c r="C57" s="25" t="s">
        <v>731</v>
      </c>
      <c r="D57" s="25" t="s">
        <v>750</v>
      </c>
      <c r="E57" s="25" t="s">
        <v>751</v>
      </c>
    </row>
    <row r="58" spans="1:5" ht="36" customHeight="1" x14ac:dyDescent="0.3">
      <c r="A58" s="13">
        <v>55</v>
      </c>
      <c r="B58" s="23" t="s">
        <v>752</v>
      </c>
      <c r="C58" s="18" t="s">
        <v>731</v>
      </c>
      <c r="D58" s="18" t="s">
        <v>753</v>
      </c>
      <c r="E58" s="18" t="s">
        <v>754</v>
      </c>
    </row>
    <row r="59" spans="1:5" ht="36" customHeight="1" x14ac:dyDescent="0.3">
      <c r="A59" s="13">
        <v>56</v>
      </c>
      <c r="B59" s="24" t="s">
        <v>755</v>
      </c>
      <c r="C59" s="25" t="s">
        <v>756</v>
      </c>
      <c r="D59" s="25" t="s">
        <v>757</v>
      </c>
      <c r="E59" s="25" t="s">
        <v>754</v>
      </c>
    </row>
    <row r="60" spans="1:5" ht="36" customHeight="1" x14ac:dyDescent="0.3">
      <c r="A60" s="13">
        <v>57</v>
      </c>
      <c r="B60" s="23" t="s">
        <v>758</v>
      </c>
      <c r="C60" s="18" t="s">
        <v>594</v>
      </c>
      <c r="D60" s="18" t="s">
        <v>759</v>
      </c>
      <c r="E60" s="18" t="s">
        <v>754</v>
      </c>
    </row>
    <row r="61" spans="1:5" ht="22.05" customHeight="1" x14ac:dyDescent="0.3">
      <c r="A61" s="13">
        <v>58</v>
      </c>
      <c r="B61" s="24" t="s">
        <v>760</v>
      </c>
      <c r="C61" s="25" t="s">
        <v>761</v>
      </c>
      <c r="D61" s="25" t="s">
        <v>762</v>
      </c>
      <c r="E61" s="25" t="s">
        <v>763</v>
      </c>
    </row>
    <row r="62" spans="1:5" ht="36" customHeight="1" x14ac:dyDescent="0.3">
      <c r="A62" s="13">
        <v>59</v>
      </c>
      <c r="B62" s="23" t="s">
        <v>764</v>
      </c>
      <c r="C62" s="18" t="s">
        <v>756</v>
      </c>
      <c r="D62" s="18" t="s">
        <v>765</v>
      </c>
      <c r="E62" s="18" t="s">
        <v>766</v>
      </c>
    </row>
    <row r="63" spans="1:5" ht="36" customHeight="1" x14ac:dyDescent="0.3">
      <c r="A63" s="13">
        <v>60</v>
      </c>
      <c r="B63" s="24" t="s">
        <v>767</v>
      </c>
      <c r="C63" s="25" t="s">
        <v>768</v>
      </c>
      <c r="D63" s="25" t="s">
        <v>769</v>
      </c>
      <c r="E63" s="25" t="s">
        <v>770</v>
      </c>
    </row>
    <row r="64" spans="1:5" ht="36" customHeight="1" x14ac:dyDescent="0.3">
      <c r="A64" s="13">
        <v>61</v>
      </c>
      <c r="B64" s="23" t="s">
        <v>771</v>
      </c>
      <c r="C64" s="18" t="s">
        <v>761</v>
      </c>
      <c r="D64" s="18" t="s">
        <v>772</v>
      </c>
      <c r="E64" s="18" t="s">
        <v>773</v>
      </c>
    </row>
    <row r="65" spans="1:5" ht="36" customHeight="1" x14ac:dyDescent="0.3">
      <c r="A65" s="13">
        <v>62</v>
      </c>
      <c r="B65" s="24" t="s">
        <v>774</v>
      </c>
      <c r="C65" s="25" t="s">
        <v>775</v>
      </c>
      <c r="D65" s="25" t="s">
        <v>776</v>
      </c>
      <c r="E65" s="25" t="s">
        <v>777</v>
      </c>
    </row>
    <row r="66" spans="1:5" ht="36" customHeight="1" x14ac:dyDescent="0.3">
      <c r="A66" s="13">
        <v>63</v>
      </c>
      <c r="B66" s="23" t="s">
        <v>778</v>
      </c>
      <c r="C66" s="18" t="s">
        <v>775</v>
      </c>
      <c r="D66" s="18" t="s">
        <v>779</v>
      </c>
      <c r="E66" s="18" t="s">
        <v>780</v>
      </c>
    </row>
    <row r="67" spans="1:5" ht="22.05" customHeight="1" x14ac:dyDescent="0.3">
      <c r="A67" s="13">
        <v>64</v>
      </c>
      <c r="B67" s="24" t="s">
        <v>781</v>
      </c>
      <c r="C67" s="25" t="s">
        <v>775</v>
      </c>
      <c r="D67" s="25" t="s">
        <v>782</v>
      </c>
      <c r="E67" s="25" t="s">
        <v>783</v>
      </c>
    </row>
    <row r="68" spans="1:5" ht="36" customHeight="1" x14ac:dyDescent="0.3">
      <c r="A68" s="13">
        <v>65</v>
      </c>
      <c r="B68" s="23" t="s">
        <v>784</v>
      </c>
      <c r="C68" s="18" t="s">
        <v>775</v>
      </c>
      <c r="D68" s="18" t="s">
        <v>785</v>
      </c>
      <c r="E68" s="18" t="s">
        <v>786</v>
      </c>
    </row>
    <row r="69" spans="1:5" ht="22.05" customHeight="1" x14ac:dyDescent="0.3">
      <c r="A69" s="13">
        <v>66</v>
      </c>
      <c r="B69" s="24" t="s">
        <v>787</v>
      </c>
      <c r="C69" s="25" t="s">
        <v>788</v>
      </c>
      <c r="D69" s="25" t="s">
        <v>789</v>
      </c>
      <c r="E69" s="25" t="s">
        <v>790</v>
      </c>
    </row>
    <row r="70" spans="1:5" ht="36" customHeight="1" x14ac:dyDescent="0.3">
      <c r="A70" s="13">
        <v>67</v>
      </c>
      <c r="B70" s="23" t="s">
        <v>791</v>
      </c>
      <c r="C70" s="18" t="s">
        <v>788</v>
      </c>
      <c r="D70" s="18" t="s">
        <v>792</v>
      </c>
      <c r="E70" s="18" t="s">
        <v>793</v>
      </c>
    </row>
    <row r="71" spans="1:5" ht="36" customHeight="1" x14ac:dyDescent="0.3">
      <c r="A71" s="13">
        <v>68</v>
      </c>
      <c r="B71" s="24" t="s">
        <v>794</v>
      </c>
      <c r="C71" s="25" t="s">
        <v>756</v>
      </c>
      <c r="D71" s="25" t="s">
        <v>795</v>
      </c>
      <c r="E71" s="25" t="s">
        <v>796</v>
      </c>
    </row>
    <row r="72" spans="1:5" ht="22.05" customHeight="1" x14ac:dyDescent="0.3">
      <c r="A72" s="13">
        <v>69</v>
      </c>
      <c r="B72" s="23" t="s">
        <v>797</v>
      </c>
      <c r="C72" s="18" t="s">
        <v>756</v>
      </c>
      <c r="D72" s="18" t="s">
        <v>798</v>
      </c>
      <c r="E72" s="18" t="s">
        <v>799</v>
      </c>
    </row>
  </sheetData>
  <sheetProtection sheet="1" formatCells="0" formatColumns="0" formatRows="0" sort="0" autoFilter="0"/>
  <autoFilter ref="A3:E72" xr:uid="{00000000-0009-0000-0000-000008000000}"/>
  <pageMargins left="0.5" right="0.5"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Petunjuk</vt:lpstr>
      <vt:lpstr>Contoh_Pengisian</vt:lpstr>
      <vt:lpstr>Profil_Aplikasi</vt:lpstr>
      <vt:lpstr>STRIDE_DREAD_Template</vt:lpstr>
      <vt:lpstr>Pemeriksa_Mandiri</vt:lpstr>
      <vt:lpstr>Ringkasan</vt:lpstr>
      <vt:lpstr>STRIDE_Guidelines</vt:lpstr>
      <vt:lpstr>DREAD_Guidelines</vt:lpstr>
      <vt:lpstr>Glosarium_Istilah</vt:lpstr>
      <vt:lpstr>Profil_Aplikasi!Print_Area</vt:lpstr>
      <vt:lpstr>STRIDE_DREAD_Template!Print_Titles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Praktikum STRIDE + DREAD</dc:title>
  <dc:creator>Muhamad Yusril Helmi Setyawan</dc:creator>
  <cp:lastModifiedBy>Isa Widianto</cp:lastModifiedBy>
  <cp:revision>1</cp:revision>
  <dcterms:created xsi:type="dcterms:W3CDTF">2026-10-06T08:35:38Z</dcterms:created>
  <dcterms:modified xsi:type="dcterms:W3CDTF">2026-10-15T07:14:49Z</dcterms:modified>
  <dc:language>en-US</dc:language>
</cp:coreProperties>
</file>