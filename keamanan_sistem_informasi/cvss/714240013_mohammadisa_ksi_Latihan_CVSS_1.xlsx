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xr:revisionPtr revIDLastSave="0" documentId="13_ncr:1_{B00C6AE8-DB35-45BB-89F5-F6DC5C50E5B5}" xr6:coauthVersionLast="47" xr6:coauthVersionMax="47" xr10:uidLastSave="{00000000-0000-0000-0000-000000000000}"/>
  <bookViews>
    <workbookView xWindow="-20610" yWindow="-120" windowWidth="20730" windowHeight="11040" tabRatio="500" activeTab="2" xr2:uid="{00000000-000D-0000-FFFF-FFFF00000000}"/>
  </bookViews>
  <sheets>
    <sheet name="Petunjuk" sheetId="1" r:id="rId1"/>
    <sheet name="Perbandingan_DREAD-CVSS" sheetId="2" r:id="rId2"/>
    <sheet name="CVSS_Template" sheetId="3" r:id="rId3"/>
    <sheet name="Ringkasan" sheetId="4" r:id="rId4"/>
    <sheet name="CVSS_Guidelines" sheetId="5" r:id="rId5"/>
  </sheets>
  <definedNames>
    <definedName name="_xlnm.Print_Titles" localSheetId="2">CVSS_Template!$1:$4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3" l="1"/>
  <c r="C18" i="4"/>
  <c r="C17" i="4"/>
  <c r="C9" i="4"/>
  <c r="C8" i="4"/>
  <c r="C7" i="4"/>
  <c r="C6" i="4"/>
  <c r="C5" i="4"/>
  <c r="T44" i="3"/>
  <c r="U44" i="3" s="1"/>
  <c r="R44" i="3"/>
  <c r="Q44" i="3"/>
  <c r="O44" i="3"/>
  <c r="T43" i="3"/>
  <c r="R43" i="3"/>
  <c r="Q43" i="3"/>
  <c r="U43" i="3" s="1"/>
  <c r="O43" i="3"/>
  <c r="T42" i="3"/>
  <c r="R42" i="3"/>
  <c r="Q42" i="3"/>
  <c r="U42" i="3" s="1"/>
  <c r="O42" i="3"/>
  <c r="T41" i="3"/>
  <c r="R41" i="3"/>
  <c r="Q41" i="3"/>
  <c r="U41" i="3" s="1"/>
  <c r="O41" i="3"/>
  <c r="T40" i="3"/>
  <c r="R40" i="3"/>
  <c r="Q40" i="3"/>
  <c r="U40" i="3" s="1"/>
  <c r="O40" i="3"/>
  <c r="T39" i="3"/>
  <c r="U39" i="3" s="1"/>
  <c r="R39" i="3"/>
  <c r="Q39" i="3"/>
  <c r="O39" i="3"/>
  <c r="T38" i="3"/>
  <c r="R38" i="3"/>
  <c r="Q38" i="3"/>
  <c r="U38" i="3" s="1"/>
  <c r="O38" i="3"/>
  <c r="T37" i="3"/>
  <c r="R37" i="3"/>
  <c r="Q37" i="3"/>
  <c r="U37" i="3" s="1"/>
  <c r="O37" i="3"/>
  <c r="U36" i="3"/>
  <c r="T36" i="3"/>
  <c r="R36" i="3"/>
  <c r="Q36" i="3"/>
  <c r="O36" i="3"/>
  <c r="T35" i="3"/>
  <c r="R35" i="3"/>
  <c r="Q35" i="3"/>
  <c r="U35" i="3" s="1"/>
  <c r="O35" i="3"/>
  <c r="T34" i="3"/>
  <c r="R34" i="3"/>
  <c r="Q34" i="3"/>
  <c r="U34" i="3" s="1"/>
  <c r="O34" i="3"/>
  <c r="T33" i="3"/>
  <c r="R33" i="3"/>
  <c r="Q33" i="3"/>
  <c r="U33" i="3" s="1"/>
  <c r="O33" i="3"/>
  <c r="T32" i="3"/>
  <c r="R32" i="3"/>
  <c r="Q32" i="3"/>
  <c r="U32" i="3" s="1"/>
  <c r="O32" i="3"/>
  <c r="T31" i="3"/>
  <c r="R31" i="3"/>
  <c r="Q31" i="3"/>
  <c r="U31" i="3" s="1"/>
  <c r="O31" i="3"/>
  <c r="T30" i="3"/>
  <c r="R30" i="3"/>
  <c r="Q30" i="3"/>
  <c r="U30" i="3" s="1"/>
  <c r="O30" i="3"/>
  <c r="T29" i="3"/>
  <c r="R29" i="3"/>
  <c r="Q29" i="3"/>
  <c r="U29" i="3" s="1"/>
  <c r="O29" i="3"/>
  <c r="T28" i="3"/>
  <c r="R28" i="3"/>
  <c r="Q28" i="3"/>
  <c r="U28" i="3" s="1"/>
  <c r="O28" i="3"/>
  <c r="T27" i="3"/>
  <c r="R27" i="3"/>
  <c r="Q27" i="3"/>
  <c r="U27" i="3" s="1"/>
  <c r="O27" i="3"/>
  <c r="T26" i="3"/>
  <c r="R26" i="3"/>
  <c r="Q26" i="3"/>
  <c r="U26" i="3" s="1"/>
  <c r="O26" i="3"/>
  <c r="T25" i="3"/>
  <c r="R25" i="3"/>
  <c r="Q25" i="3"/>
  <c r="U25" i="3" s="1"/>
  <c r="O25" i="3"/>
  <c r="T24" i="3"/>
  <c r="R24" i="3"/>
  <c r="Q24" i="3"/>
  <c r="U24" i="3" s="1"/>
  <c r="O24" i="3"/>
  <c r="T23" i="3"/>
  <c r="R23" i="3"/>
  <c r="Q23" i="3"/>
  <c r="U23" i="3" s="1"/>
  <c r="O23" i="3"/>
  <c r="T22" i="3"/>
  <c r="R22" i="3"/>
  <c r="Q22" i="3"/>
  <c r="U22" i="3" s="1"/>
  <c r="O22" i="3"/>
  <c r="T21" i="3"/>
  <c r="R21" i="3"/>
  <c r="Q21" i="3"/>
  <c r="U21" i="3" s="1"/>
  <c r="O21" i="3"/>
  <c r="T20" i="3"/>
  <c r="R20" i="3"/>
  <c r="Q20" i="3"/>
  <c r="U20" i="3" s="1"/>
  <c r="O20" i="3"/>
  <c r="T19" i="3"/>
  <c r="R19" i="3"/>
  <c r="Q19" i="3"/>
  <c r="U19" i="3" s="1"/>
  <c r="O19" i="3"/>
  <c r="T18" i="3"/>
  <c r="R18" i="3"/>
  <c r="Q18" i="3"/>
  <c r="U18" i="3" s="1"/>
  <c r="O18" i="3"/>
  <c r="T17" i="3"/>
  <c r="R17" i="3"/>
  <c r="Q17" i="3"/>
  <c r="U17" i="3" s="1"/>
  <c r="O17" i="3"/>
  <c r="T16" i="3"/>
  <c r="R16" i="3"/>
  <c r="Q16" i="3"/>
  <c r="U16" i="3" s="1"/>
  <c r="O16" i="3"/>
  <c r="T15" i="3"/>
  <c r="R15" i="3"/>
  <c r="Q15" i="3"/>
  <c r="U15" i="3" s="1"/>
  <c r="O15" i="3"/>
  <c r="T14" i="3"/>
  <c r="R14" i="3"/>
  <c r="Q14" i="3"/>
  <c r="U14" i="3" s="1"/>
  <c r="O14" i="3"/>
  <c r="T13" i="3"/>
  <c r="R13" i="3"/>
  <c r="Q13" i="3"/>
  <c r="O13" i="3"/>
  <c r="T12" i="3"/>
  <c r="R12" i="3"/>
  <c r="Q12" i="3"/>
  <c r="O12" i="3"/>
  <c r="T11" i="3"/>
  <c r="R11" i="3"/>
  <c r="Q11" i="3"/>
  <c r="O11" i="3"/>
  <c r="T10" i="3"/>
  <c r="R10" i="3"/>
  <c r="Q10" i="3"/>
  <c r="O10" i="3"/>
  <c r="T9" i="3"/>
  <c r="R9" i="3"/>
  <c r="Q9" i="3"/>
  <c r="O9" i="3"/>
  <c r="T8" i="3"/>
  <c r="R8" i="3"/>
  <c r="Q8" i="3"/>
  <c r="O8" i="3"/>
  <c r="T7" i="3"/>
  <c r="R7" i="3"/>
  <c r="Q7" i="3"/>
  <c r="U7" i="3" s="1"/>
  <c r="O7" i="3"/>
  <c r="T6" i="3"/>
  <c r="R6" i="3"/>
  <c r="Q6" i="3"/>
  <c r="O6" i="3"/>
  <c r="T5" i="3"/>
  <c r="R5" i="3"/>
  <c r="Q5" i="3"/>
  <c r="U13" i="3" l="1"/>
  <c r="U12" i="3"/>
  <c r="U11" i="3"/>
  <c r="U10" i="3"/>
  <c r="U9" i="3"/>
  <c r="U8" i="3"/>
  <c r="C13" i="4" s="1"/>
  <c r="U6" i="3"/>
  <c r="U5" i="3"/>
  <c r="C19" i="4"/>
  <c r="C10" i="4"/>
  <c r="C14" i="4"/>
</calcChain>
</file>

<file path=xl/sharedStrings.xml><?xml version="1.0" encoding="utf-8"?>
<sst xmlns="http://schemas.openxmlformats.org/spreadsheetml/2006/main" count="300" uniqueCount="175">
  <si>
    <t>Template Latihan CVSS v4.0 — Aplikasi Anda Sendiri</t>
  </si>
  <si>
    <t>Mata kuliah Keamanan Sistem Informasi · Pertemuan 4 CVSS · Dosen: Muhamad Yusril Helmi Setyawan</t>
  </si>
  <si>
    <t>Apa ini</t>
  </si>
  <si>
    <t>Berkas ini KOSONG — isi sendiri di sheet CVSS_Template untuk aplikasi/sistem yang Anda analisis pada tugas STRIDE-DREAD sebelumnya. Pelajari dulu pola pengisiannya di isian_contoh_CVSS_yusrilhelmi.xlsx (berkas contoh dosen) sebelum mengerjakan di sini.</t>
  </si>
  <si>
    <t>Kaitan dengan Latihan 3.1</t>
  </si>
  <si>
    <t>Gunakan ANCAMAN YANG SAMA (ID T-xx, deskripsi, bukti kode) yang sudah Anda tulis di tugas STRIDE-DREAD Anda. Salin ID dan deskripsinya ke kolom B-C di sini, lalu nilai dengan CVSS — jangan membuat ancaman baru yang berbeda.</t>
  </si>
  <si>
    <t>Bagaimana skor didapat</t>
  </si>
  <si>
    <t>Isi kolom D-N (kuning) dengan nilai kategori metrik Base (pakai dropdown yang sudah disediakan). Kolom O (Vector String) terisi OTOMATIS. Lalu salin Vector String itu ke kalkulator resmi FIRST (first.org/cvss/calculator/4.0), baca angka Skor Base-nya, dan ketik manual ke kolom P — skor ini TIDAK bisa dihitung otomatis oleh Excel karena metodenya (MacroVector + lookup table) terlalu kompleks untuk rumus spreadsheet biasa.</t>
  </si>
  <si>
    <t>Boleh ada ancaman tanpa Skor Base?</t>
  </si>
  <si>
    <t>Tidak semua ancaman DREAD wajib diberi Skor Base CVSS. Kalau ancaman itu masih berupa risiko teoretis yang belum terbukti dapat dieksploitasi, boleh dikosongkan — tulis alasannya di kolom Catatan (contoh pola ini: baris T-14 pada berkas contoh dosen).</t>
  </si>
  <si>
    <t>Kolom Perbandingan DREAD</t>
  </si>
  <si>
    <t>Kolom S (Skor DREAD) diisi dari isian_contoh_STRIDE-DRIDE_yusrilhelmi.xlsx milik Anda sendiri (bukan contoh dosen). Kolom 'Level DREAD' dan 'Sejalan dengan DREAD?' lalu terisi otomatis untuk membantu Anda mendiskusikan kapan CVSS dan DREAD berbeda hasil.</t>
  </si>
  <si>
    <t>Warna sel</t>
  </si>
  <si>
    <t>Kuning + font biru = Anda WAJIB isi manual  ·  Abu-abu = terisi OTOMATIS dari rumus, JANGAN diketik manual  ·  Header biru = Exploitability  ·  Header oranye = Dampak  ·  Header hijau = hasil otomatis  ·  Header ungu = perbandingan dengan DREAD.</t>
  </si>
  <si>
    <t>Sheet lain</t>
  </si>
  <si>
    <t>Perbandingan_DREAD-CVSS (perbedaan konsep) · Ringkasan (rekap otomatis + grafik, terisi sendiri begitu CVSS_Template Anda lengkap) · CVSS_Guidelines (arti tiap metrik dan skala severity).</t>
  </si>
  <si>
    <t>Perbandingan: Latihan STRIDE+DREAD (Pertemuan 3.1) vs Latihan CVSS (Pertemuan 3.2)</t>
  </si>
  <si>
    <t>Contoh konkret dari perbandingan ini ada di kolom S–U sheet CVSS_Template pada berkas ini: 7 dari 14 kerentanan yang dinilai 'Sejalan', 7 'Berbeda' dengan DREAD.</t>
  </si>
  <si>
    <t>Aspek</t>
  </si>
  <si>
    <t>STRIDE + DREAD (sudah dikerjakan)</t>
  </si>
  <si>
    <t>CVSS v4.0 (latihan ini)</t>
  </si>
  <si>
    <t>Fungsi</t>
  </si>
  <si>
    <t>Memeringkat risiko ANCAMAN</t>
  </si>
  <si>
    <t>Menilai KEPARAHAN kerentanan</t>
  </si>
  <si>
    <t>Tahap pemakaian</t>
  </si>
  <si>
    <t>Desain &amp; pemodelan ancaman (sebelum sistem jadi, atau untuk sistem yang sudah ada)</t>
  </si>
  <si>
    <t>Kerentanan yang SUDAH teridentifikasi pada sistem nyata</t>
  </si>
  <si>
    <t>Objek yang dinilai</t>
  </si>
  <si>
    <t>Ancaman, termasuk yang hipotetis (belum tentu ada celahnya)</t>
  </si>
  <si>
    <t>Kerentanan konkret (software/hardware/firmware) yang sudah ditemukan</t>
  </si>
  <si>
    <t>Cara mengisi</t>
  </si>
  <si>
    <t>STRIDE: tandai 1/0 (kategori berlaku atau tidak, boleh lebih dari satu). DREAD: isi skor 0–10 berdasarkan penilaian sendiri untuk 5 dimensi.</t>
  </si>
  <si>
    <t>Pilih TEPAT SATU nilai kategori (mis. N/A/L/P) untuk tiap metrik — bukan 1/0, dan bukan angka bebas 0–10.</t>
  </si>
  <si>
    <t>Jumlah &amp; jenis faktor</t>
  </si>
  <si>
    <t>5 faktor DREAD: Damage, Reproducibility, Exploitability, Affected Users, Discoverability</t>
  </si>
  <si>
    <t>10 metrik Base CVSS: AV·AC·AT·PR·UI (Exploitability) + VC·VI·VA·SC·SI·SA (Dampak)</t>
  </si>
  <si>
    <t>Penetapan skor</t>
  </si>
  <si>
    <t>Total = jumlah lima angka yang mahasiswa isi sendiri (rumus SUM biasa)</t>
  </si>
  <si>
    <t>Vector string → skor dihitung lewat tabel MacroVector oleh kalkulator resmi FIRST, BUKAN dijumlahkan manual</t>
  </si>
  <si>
    <t>Konsistensi antar-penilai</t>
  </si>
  <si>
    <t>Rendah — sangat bergantung penilaian subjektif masing-masing orang</t>
  </si>
  <si>
    <t>Lebih terarah — tiap nilai metrik punya definisi tertulis, vector string yang sama selalu menghasilkan skor yang sama</t>
  </si>
  <si>
    <t>Penyesuaian konteks</t>
  </si>
  <si>
    <t>Tidak ada mekanisme baku</t>
  </si>
  <si>
    <t>Ada, lewat metrik Threat &amp; Environmental (di luar cakupan dasar latihan ini)</t>
  </si>
  <si>
    <t>Skala keluaran</t>
  </si>
  <si>
    <t>Total 0–50, lalu dipetakan ke level CRITICAL/HIGH/MEDIUM/LOW</t>
  </si>
  <si>
    <t>Skor Base 0,0–10,0 + vector string yang bisa ditelusuri + peringkat kualitatif NONE–CRITICAL</t>
  </si>
  <si>
    <t>Pada berkas ini</t>
  </si>
  <si>
    <t>isian_contoh_STRIDE-DRIDE_yusrilhelmi.xlsx — Total, Level Risiko, Prioritas otomatis dari rumus penjumlahan, untuk T-01 s.d. T-15.</t>
  </si>
  <si>
    <t>Berkas ini (isian_contoh_CVSS_yusrilhelmi.xlsx) — Vector String, Severity, Prioritas otomatis dari rumus untuk ancaman yang sama; Skor Base diambil dari kalkulator CVSS resmi.</t>
  </si>
  <si>
    <t>Kapan hasilnya beda</t>
  </si>
  <si>
    <t>T-06 (XSS reflected): DREAD = HIGH (penilai menganggap reproducibility &amp; discoverability tinggi).</t>
  </si>
  <si>
    <t>T-06: CVSS = LOW (2,3) — dampak teknisnya kecil: VC:L/VI:L, butuh UI:Passive dan kondisi tambahan AT:Present. Lihat Catatan baris T-06 untuk penjelasan lengkap.</t>
  </si>
  <si>
    <t>Kesimpulan: DREAD dan CVSS bisa memberi hasil yang berbeda untuk 'kerentanan yang sama' — itu wajar, karena keduanya mengukur hal yang tidak identik. Gunakan kolom 'Sejalan dengan DREAD?' untuk mendiskusikan selisihnya, bukan untuk mencari siapa yang 'benar'.</t>
  </si>
  <si>
    <t>Isi baris sesuai jumlah ancaman (T-xx) pada isian_contoh_STRIDE-DRIDE_yusrilhelmi.xlsx milik Anda sendiri. Kolom kuning diisi manual; kolom abu-abu (Vector String, Severity, Prioritas, Level DREAD, Sejalan?) terisi OTOMATIS dari rumus begitu kolom kuning lengkap. Jangan menyalin isian dari berkas contoh dosen — nilai berbeda untuk setiap aplikasi.</t>
  </si>
  <si>
    <t>Identitas</t>
  </si>
  <si>
    <t>CVSS Base — Exploitability</t>
  </si>
  <si>
    <t>CVSS Base — Dampak / Impact</t>
  </si>
  <si>
    <t>Hasil</t>
  </si>
  <si>
    <t>Perbandingan dengan DREAD (Latihan 3.1)</t>
  </si>
  <si>
    <t>Catatan</t>
  </si>
  <si>
    <t>No</t>
  </si>
  <si>
    <t>ID
(T-xx)</t>
  </si>
  <si>
    <t>Deskripsi</t>
  </si>
  <si>
    <t>AV
Attack Vector</t>
  </si>
  <si>
    <t>AC
Attack Complexity</t>
  </si>
  <si>
    <t>AT
Attack Requirements</t>
  </si>
  <si>
    <t>PR
Privileges Required</t>
  </si>
  <si>
    <t>UI
User Interaction</t>
  </si>
  <si>
    <t>VC
Conf. (sistem rentan)</t>
  </si>
  <si>
    <t>VI
Integritas (sistem rentan)</t>
  </si>
  <si>
    <t>VA
Ketersediaan (sistem rentan)</t>
  </si>
  <si>
    <t>SC
Conf. (sistem berikutnya)</t>
  </si>
  <si>
    <t>SI
Integritas (sistem berikutnya)</t>
  </si>
  <si>
    <t>SA
Ketersediaan (sistem berikutnya)</t>
  </si>
  <si>
    <t>Vector String CVSS</t>
  </si>
  <si>
    <t>Skor Base
CVSS (0–10)</t>
  </si>
  <si>
    <t>Severity</t>
  </si>
  <si>
    <t>Prioritas
(1 = tertinggi)</t>
  </si>
  <si>
    <t>Skor DREAD
(Latihan 3.1)</t>
  </si>
  <si>
    <t>Level DREAD
(otomatis)</t>
  </si>
  <si>
    <t>Sejalan
dengan DREAD?</t>
  </si>
  <si>
    <t>Catatan / alasan pemetaan metrik</t>
  </si>
  <si>
    <t>Ringkasan Hasil CVSS — mon_server (SensoLab)</t>
  </si>
  <si>
    <t>Severity CVSS</t>
  </si>
  <si>
    <t>Jumlah kerentanan</t>
  </si>
  <si>
    <t>CRITICAL</t>
  </si>
  <si>
    <t>HIGH</t>
  </si>
  <si>
    <t>MEDIUM</t>
  </si>
  <si>
    <t>LOW</t>
  </si>
  <si>
    <t>NONE</t>
  </si>
  <si>
    <t>Total ternilai</t>
  </si>
  <si>
    <t>Perbandingan dengan DREAD</t>
  </si>
  <si>
    <t>Jumlah baris</t>
  </si>
  <si>
    <t>Sama</t>
  </si>
  <si>
    <t>Berbeda</t>
  </si>
  <si>
    <t>Indikator</t>
  </si>
  <si>
    <t>Nilai</t>
  </si>
  <si>
    <t>Rata-rata Skor Base CVSS</t>
  </si>
  <si>
    <t>Skor Base tertinggi</t>
  </si>
  <si>
    <t>Kerentanan prioritas 1</t>
  </si>
  <si>
    <t>Panduan Metrik CVSS v4.0 (Base)</t>
  </si>
  <si>
    <t>Metrik</t>
  </si>
  <si>
    <t>Kepanjangan</t>
  </si>
  <si>
    <t>Penjelasan singkat</t>
  </si>
  <si>
    <t>AV — Attack Vector</t>
  </si>
  <si>
    <t>N</t>
  </si>
  <si>
    <t>Network</t>
  </si>
  <si>
    <t>Dieksploitasi dari jarak jauh lewat jaringan/internet.</t>
  </si>
  <si>
    <t>A</t>
  </si>
  <si>
    <t>Adjacent</t>
  </si>
  <si>
    <t>Perlu akses ke jaringan/segmen yang sama (mis. LAN, WiFi lokal).</t>
  </si>
  <si>
    <t>L</t>
  </si>
  <si>
    <t>Local</t>
  </si>
  <si>
    <t>Perlu akses lokal ke sistem (mis. login shell, aplikasi lokal).</t>
  </si>
  <si>
    <t>P</t>
  </si>
  <si>
    <t>Physical</t>
  </si>
  <si>
    <t>Perlu akses fisik ke perangkat.</t>
  </si>
  <si>
    <t>AC — Attack Complexity</t>
  </si>
  <si>
    <t>Low</t>
  </si>
  <si>
    <t>Tidak perlu kondisi atau usaha ekstra agar eksploit berhasil.</t>
  </si>
  <si>
    <t>H</t>
  </si>
  <si>
    <t>High</t>
  </si>
  <si>
    <t>Perlu kondisi tambahan DI LUAR KENDALI PENYERANG (mis. pihak ketiga harus dibobol lebih dulu).</t>
  </si>
  <si>
    <t>AT — Attack Requirements</t>
  </si>
  <si>
    <t>None</t>
  </si>
  <si>
    <t>Tidak ada prasyarat sebelum serangan dapat dilakukan.</t>
  </si>
  <si>
    <t>Present</t>
  </si>
  <si>
    <t>Ada prasyarat DI DALAM sistem/aplikasi itu sendiri (mis. celah lain harus ada lebih dulu, atau fitur tertentu harus aktif).</t>
  </si>
  <si>
    <t>PR — Privileges Required</t>
  </si>
  <si>
    <t>Penyerang tidak perlu hak akses apa pun.</t>
  </si>
  <si>
    <t>Penyerang perlu hak akses dasar/terbatas.</t>
  </si>
  <si>
    <t>Penyerang perlu hak akses tingkat admin/istimewa.</t>
  </si>
  <si>
    <t>UI — User Interaction</t>
  </si>
  <si>
    <t>Tidak perlu tindakan apa pun dari korban.</t>
  </si>
  <si>
    <t>Passive</t>
  </si>
  <si>
    <t>Korban melakukan tindakan umum (mis. membuka halaman) tanpa sadar membantu serangan.</t>
  </si>
  <si>
    <t>Active</t>
  </si>
  <si>
    <t>Korban harus melakukan langkah khusus (mis. mengklik tautan tertentu, mengubah pengaturan).</t>
  </si>
  <si>
    <t>Dampak / Impact — berlaku untuk VC, VI, VA (dampak ke sistem yang rentan) dan SC, SI, SA (dampak ke sistem lain / berikutnya, bila ada)</t>
  </si>
  <si>
    <t>Dampak penuh/signifikan terhadap aspek tersebut (Confidentiality/Integrity/Availability).</t>
  </si>
  <si>
    <t>Dampak terbatas/sebagian.</t>
  </si>
  <si>
    <t>Tidak ada dampak terhadap aspek tersebut.</t>
  </si>
  <si>
    <t>Skala Severity (dipakai rumus pada CVSS_Template)</t>
  </si>
  <si>
    <t>Level</t>
  </si>
  <si>
    <t>Skor Base minimum</t>
  </si>
  <si>
    <t>Nilai biru pada kolom B boleh diubah dosen. CRITICAL/HIGH/MEDIUM di sini HARUS tetap berurutan karena dirujuk langsung oleh rumus Severity di CVSS_Template (baris 27-29).</t>
  </si>
  <si>
    <t>T-01</t>
  </si>
  <si>
    <t>T-02</t>
  </si>
  <si>
    <t>T-03</t>
  </si>
  <si>
    <t>Penyerang yang terautentikasi memanipulasi parameter order_id pada endpoint status booking di BookingController tanpa verifikasi kepemilikan akun, sehingga dapat mengubah status pesanan milik pengguna lain secara sepihak.</t>
  </si>
  <si>
    <t>Penyerang login biasa (PR:L) memodifikasi status pesanan pengguna lain (VI:H, VC:L). Berbeda dengan DREAD (40 Critical) karena CVSS memperhitungkan pembatasan akses akun sah yang memperkecil populasi penyerang.</t>
  </si>
  <si>
    <t>T-04</t>
  </si>
  <si>
    <t>T-05</t>
  </si>
  <si>
    <t>T-06</t>
  </si>
  <si>
    <t>T-07</t>
  </si>
  <si>
    <t>T-08</t>
  </si>
  <si>
    <t>T-09</t>
  </si>
  <si>
    <t>Penyerang tanpa autentikasi mengirimkan ribuan request ke endpoint uji latensi WebSocket Reverb secara masif, sehingga membanjiri channel Reverb dan mengakibatkan server socket mengalami kehabisan memori serta lumpuh.</t>
  </si>
  <si>
    <t>Penyerang memalsukan notifikasi callback webhook Midtrans dengan mengeksploitasi kemungkinan kunci rahasia kosong pada berkas konfigurasi, sehingga status pembayaran booking berubah menjadi lunas tanpa transfer uang sesungguhnya.</t>
  </si>
  <si>
    <t>Pihak ketiga pada jaringan lokal atau perantara sniffing mencuri session ID pengguna karena konfigurasi sesi di database tidak dienkripsi, sehingga penyerang dapat membajak sesi login pengguna tanpa memerlukan password.</t>
  </si>
  <si>
    <t>Pengguna yang terautentikasi memanipulasi parameter hash_id pada URL percakapan atau request penghapusan pesan, sehingga dapat membaca pesan rahasia atau menghapus riwayat chat milik pihak lain tanpa izin.</t>
  </si>
  <si>
    <t>Pengguna mengunggah berkas gambar manipulasi (seperti polyglot file atau SVG berbisa) pada fitur foto jasa dan avatar profil, sehingga berkas berbahaya tersimpan di direktori publik server dan dapat memicu SSRF atau XSS.</t>
  </si>
  <si>
    <t>Pengguna mendaftar atau memperbarui profil lalu menambahkan parameter role=admin melalui manipulasi HTTP request payload, sehingga hak akses akun meningkat menjadi administrator karena atribut role masuk ke fillable model.</t>
  </si>
  <si>
    <t>Pengguna menyisipkan skrip berbahaya berupa payload JavaScript pada kolom ulasan review atau catatan pemesanan jasa, sehingga skrip dieksekusi di browser penyedia jasa atau administrator saat membuka halaman.</t>
  </si>
  <si>
    <t>Pengguna jahat memicu pencarian katalog dengan koordinat radius geolokasi secara berulang dan mengunggah banyak berkas berukuran 10MB, sehingga membebani CPU database dan menghabiskan ruang penyimpanan server.</t>
  </si>
  <si>
    <t>Serangan jarak jauh tanpa kredensial (AV:N/PR:N) melumpuhkan ketersediaan socket (VA:H). Berbeda dengan DREAD (40 Critical) karena DoS murni tanpa kebocoran data di CVSS v4 berplafon High 8.7.</t>
  </si>
  <si>
    <t>Penyerang publik (AV:N/PR:N) memanipulasi status pembayaran transaksi (VI:H) dengan prasyarat kunci server kosong (AT:P). Sejalan dengan DREAD (39 High).</t>
  </si>
  <si>
    <t>Pengguna login (PR:L) memicu degradasi ketersediaan dan beban disk/CPU parsial (VA:L). Berbeda dengan DREAD karena CVSS membedakan degradasi parsial secara ketat sebagai Medium.</t>
  </si>
  <si>
    <t>Stored XSS memerlukan login (PR:L) dan interaksi pasif korban (UI:P) berdampak terbatas di sisi klien (VC:L/VI:L). Berbeda dengan DREAD karena CVSS mengukur keparahan teknis spesifik tanpa pembobotan discoverability.</t>
  </si>
  <si>
    <t>Eskalasi hak akses penuh ke Admin tanpa autentikasi saat registrasi (PR:N) merusak seluruh pilar CIA (VC:H/VI:H/VA:H). Berbeda dengan DREAD karena CVSS menilai kompromi sistem total sebagai Critical, sedangkan DREAD teredam skor Discoverability.</t>
  </si>
  <si>
    <t>Unggah gambar SVG manipulatif butuh akun (PR:L) dan interaksi korban (UI:P) berdampak XSS/SSRF terbatas di klien (VC:L/VI:L). Berbeda dengan DREAD karena web server tidak mengeksekusi PHP di folder storage.</t>
  </si>
  <si>
    <t>Sniffing sesi di jaringan lokal (AV:A) dengan prasyarat posisi MitM (AT:P) dan interaksi pasif korban (UI:P) mengambil alih akun korban (VC:H/VI:H). Sejalan dengan DREAD (34 High).</t>
  </si>
  <si>
    <t>IDOR pada chat membutuhkan akun terdaftar (PR:L) dengan dampak kerahasiaan dan integritas terbatas pada pesan yang disasar (VC:L/VI:L). Berbeda dengan DREAD karena dampaknya terisolasi pada chat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</si>
</sst>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charset val="1"/>
    </font>
    <font>
      <b/>
      <sz val="20"/>
      <color rgb="FFFFFFFF"/>
      <name val="Arial"/>
      <charset val="1"/>
    </font>
    <font>
      <sz val="11"/>
      <color rgb="FF595959"/>
      <name val="Arial"/>
      <charset val="1"/>
    </font>
    <font>
      <b/>
      <sz val="11"/>
      <color rgb="FF1F3A5F"/>
      <name val="Arial"/>
      <charset val="1"/>
    </font>
    <font>
      <sz val="11"/>
      <name val="Arial"/>
      <charset val="1"/>
    </font>
    <font>
      <b/>
      <sz val="16"/>
      <color rgb="FFFFFFFF"/>
      <name val="Arial"/>
      <charset val="1"/>
    </font>
    <font>
      <i/>
      <sz val="10"/>
      <color rgb="FF595959"/>
      <name val="Arial"/>
      <charset val="1"/>
    </font>
    <font>
      <b/>
      <sz val="11"/>
      <color rgb="FFFFFFFF"/>
      <name val="Arial"/>
      <charset val="1"/>
    </font>
    <font>
      <b/>
      <sz val="10"/>
      <color rgb="FF1F3A5F"/>
      <name val="Arial"/>
      <charset val="1"/>
    </font>
    <font>
      <sz val="10"/>
      <name val="Arial"/>
      <charset val="1"/>
    </font>
    <font>
      <b/>
      <sz val="18"/>
      <color rgb="FFFFFFFF"/>
      <name val="Arial"/>
      <charset val="1"/>
    </font>
    <font>
      <sz val="10"/>
      <color rgb="FF595959"/>
      <name val="Arial"/>
      <charset val="1"/>
    </font>
    <font>
      <b/>
      <sz val="10"/>
      <color rgb="FFFFFFFF"/>
      <name val="Arial"/>
      <charset val="1"/>
    </font>
    <font>
      <b/>
      <sz val="9"/>
      <color rgb="FFFFFFFF"/>
      <name val="Arial"/>
      <charset val="1"/>
    </font>
    <font>
      <sz val="10"/>
      <color rgb="FF000000"/>
      <name val="Arial"/>
      <charset val="1"/>
    </font>
    <font>
      <sz val="10"/>
      <color rgb="FF0000FF"/>
      <name val="Arial"/>
      <charset val="1"/>
    </font>
    <font>
      <sz val="8"/>
      <color rgb="FF000000"/>
      <name val="Arial"/>
      <charset val="1"/>
    </font>
    <font>
      <b/>
      <sz val="16"/>
      <color rgb="FF1F3A5F"/>
      <name val="Arial"/>
      <charset val="1"/>
    </font>
    <font>
      <b/>
      <sz val="10"/>
      <name val="Arial"/>
      <charset val="1"/>
    </font>
    <font>
      <b/>
      <sz val="14"/>
      <color rgb="FFFFFFFF"/>
      <name val="Arial"/>
      <charset val="1"/>
    </font>
    <font>
      <b/>
      <sz val="10"/>
      <color rgb="FF0000FF"/>
      <name val="Arial"/>
      <charset val="1"/>
    </font>
    <font>
      <i/>
      <sz val="9"/>
      <color rgb="FF595959"/>
      <name val="Arial"/>
      <charset val="1"/>
    </font>
    <font>
      <sz val="10"/>
      <color rgb="FF000000"/>
      <name val="Arial"/>
      <family val="2"/>
    </font>
    <font>
      <sz val="10"/>
      <color rgb="FF0000FF"/>
      <name val="Arial"/>
      <family val="2"/>
      <charset val="1"/>
    </font>
    <font>
      <sz val="10"/>
      <color rgb="FF0000FF"/>
      <name val="Arial"/>
      <family val="2"/>
    </font>
    <font>
      <sz val="8"/>
      <name val="Calibri"/>
      <family val="2"/>
      <charset val="1"/>
    </font>
  </fonts>
  <fills count="10">
    <fill>
      <patternFill patternType="none"/>
    </fill>
    <fill>
      <patternFill patternType="gray125"/>
    </fill>
    <fill>
      <patternFill patternType="solid">
        <fgColor rgb="FF1F3A5F"/>
        <bgColor rgb="FF333333"/>
      </patternFill>
    </fill>
    <fill>
      <patternFill patternType="solid">
        <fgColor rgb="FFDDEBF7"/>
        <bgColor rgb="FFEDEDED"/>
      </patternFill>
    </fill>
    <fill>
      <patternFill patternType="solid">
        <fgColor rgb="FF2E75B6"/>
        <bgColor rgb="FF4F81BD"/>
      </patternFill>
    </fill>
    <fill>
      <patternFill patternType="solid">
        <fgColor rgb="FFC55A11"/>
        <bgColor rgb="FFED7D31"/>
      </patternFill>
    </fill>
    <fill>
      <patternFill patternType="solid">
        <fgColor rgb="FF548235"/>
        <bgColor rgb="FF595959"/>
      </patternFill>
    </fill>
    <fill>
      <patternFill patternType="solid">
        <fgColor rgb="FF7030A0"/>
        <bgColor rgb="FF993366"/>
      </patternFill>
    </fill>
    <fill>
      <patternFill patternType="solid">
        <fgColor rgb="FFEDEDED"/>
        <bgColor rgb="FFDDEBF7"/>
      </patternFill>
    </fill>
    <fill>
      <patternFill patternType="solid">
        <fgColor rgb="FFFFF8D6"/>
        <bgColor rgb="FFFFFFFF"/>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51">
    <xf numFmtId="0" fontId="0" fillId="0" borderId="0" xfId="0"/>
    <xf numFmtId="0" fontId="3" fillId="3" borderId="0" xfId="0" applyFont="1" applyFill="1" applyAlignment="1">
      <alignment horizontal="left" vertical="top" wrapText="1"/>
    </xf>
    <xf numFmtId="0" fontId="4" fillId="0" borderId="0" xfId="0" applyFont="1" applyAlignment="1">
      <alignment horizontal="left" vertical="top"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164" fontId="15" fillId="9" borderId="1" xfId="0" applyNumberFormat="1" applyFont="1" applyFill="1" applyBorder="1" applyAlignment="1">
      <alignment horizontal="center" vertical="center" wrapText="1"/>
    </xf>
    <xf numFmtId="0" fontId="12" fillId="2" borderId="0" xfId="0" applyFont="1" applyFill="1"/>
    <xf numFmtId="0" fontId="9" fillId="0" borderId="0" xfId="0" applyFont="1"/>
    <xf numFmtId="0" fontId="18" fillId="0" borderId="0" xfId="0" applyFont="1"/>
    <xf numFmtId="0" fontId="12" fillId="7" borderId="0" xfId="0" applyFont="1" applyFill="1"/>
    <xf numFmtId="0" fontId="12" fillId="6" borderId="0" xfId="0" applyFont="1" applyFill="1"/>
    <xf numFmtId="164" fontId="9" fillId="0" borderId="0" xfId="0" applyNumberFormat="1" applyFont="1"/>
    <xf numFmtId="0" fontId="12" fillId="4" borderId="1" xfId="0" applyFont="1" applyFill="1" applyBorder="1" applyAlignment="1">
      <alignment horizontal="center"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horizontal="left" vertical="center" wrapText="1"/>
    </xf>
    <xf numFmtId="164" fontId="15" fillId="0" borderId="0" xfId="0" applyNumberFormat="1" applyFont="1"/>
    <xf numFmtId="0" fontId="11" fillId="0" borderId="0" xfId="0" applyFont="1"/>
    <xf numFmtId="0" fontId="0" fillId="0" borderId="0" xfId="0"/>
    <xf numFmtId="0" fontId="10" fillId="2" borderId="0" xfId="0" applyFont="1" applyFill="1"/>
    <xf numFmtId="0" fontId="12" fillId="6" borderId="2" xfId="0" applyFont="1" applyFill="1" applyBorder="1" applyAlignment="1">
      <alignment horizontal="center" vertical="center" wrapText="1"/>
    </xf>
    <xf numFmtId="0" fontId="0" fillId="0" borderId="3" xfId="0" applyBorder="1"/>
    <xf numFmtId="0" fontId="12" fillId="2"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2" fillId="0" borderId="0" xfId="0" applyFont="1"/>
    <xf numFmtId="0" fontId="1" fillId="2" borderId="0" xfId="0" applyFont="1" applyFill="1"/>
    <xf numFmtId="0" fontId="5" fillId="2" borderId="0" xfId="0" applyFont="1" applyFill="1"/>
    <xf numFmtId="0" fontId="6" fillId="0" borderId="0" xfId="0" applyFont="1" applyAlignment="1">
      <alignment vertical="center" wrapText="1"/>
    </xf>
    <xf numFmtId="0" fontId="17" fillId="0" borderId="0" xfId="0" applyFont="1"/>
    <xf numFmtId="0" fontId="12" fillId="5" borderId="0" xfId="0" applyFont="1" applyFill="1"/>
    <xf numFmtId="0" fontId="19" fillId="2" borderId="0" xfId="0" applyFont="1" applyFill="1"/>
    <xf numFmtId="0" fontId="7" fillId="6" borderId="0" xfId="0" applyFont="1" applyFill="1"/>
    <xf numFmtId="0" fontId="21" fillId="0" borderId="0" xfId="0" applyFont="1" applyAlignment="1">
      <alignment wrapText="1"/>
    </xf>
    <xf numFmtId="0" fontId="22" fillId="9" borderId="1" xfId="0" applyFont="1" applyFill="1" applyBorder="1" applyAlignment="1">
      <alignment horizontal="left" vertical="center" wrapText="1"/>
    </xf>
    <xf numFmtId="0" fontId="23" fillId="9" borderId="1" xfId="0" applyFont="1" applyFill="1" applyBorder="1" applyAlignment="1">
      <alignment horizontal="center" vertical="center" wrapText="1"/>
    </xf>
    <xf numFmtId="164" fontId="24" fillId="9" borderId="1" xfId="0" applyNumberFormat="1" applyFont="1" applyFill="1" applyBorder="1" applyAlignment="1">
      <alignment horizontal="center" vertical="center" wrapText="1"/>
    </xf>
    <xf numFmtId="0" fontId="24" fillId="9" borderId="1" xfId="0" applyFont="1" applyFill="1" applyBorder="1" applyAlignment="1">
      <alignment horizontal="center" vertical="center" wrapText="1"/>
    </xf>
  </cellXfs>
  <cellStyles count="1">
    <cellStyle name="Normal" xfId="0" builtinId="0"/>
  </cellStyles>
  <dxfs count="10">
    <dxf>
      <font>
        <b/>
        <color rgb="FFFFFFFF"/>
        <name val="Arial"/>
        <charset val="1"/>
      </font>
      <fill>
        <patternFill>
          <bgColor rgb="FFED7D31"/>
        </patternFill>
      </fill>
    </dxf>
    <dxf>
      <font>
        <b/>
        <color rgb="FF000000"/>
        <name val="Arial"/>
        <charset val="1"/>
      </font>
      <fill>
        <patternFill>
          <bgColor rgb="FFA9D18E"/>
        </patternFill>
      </fill>
    </dxf>
    <dxf>
      <font>
        <b/>
        <color rgb="FF000000"/>
        <name val="Arial"/>
        <charset val="1"/>
      </font>
      <fill>
        <patternFill>
          <bgColor rgb="FFD9D9D9"/>
        </patternFill>
      </fill>
    </dxf>
    <dxf>
      <font>
        <b/>
        <color rgb="FF000000"/>
        <name val="Arial"/>
        <charset val="1"/>
      </font>
      <fill>
        <patternFill>
          <bgColor rgb="FFA9D18E"/>
        </patternFill>
      </fill>
    </dxf>
    <dxf>
      <font>
        <b/>
        <color rgb="FF000000"/>
        <name val="Arial"/>
        <charset val="1"/>
      </font>
      <fill>
        <patternFill>
          <bgColor rgb="FFFFD966"/>
        </patternFill>
      </fill>
    </dxf>
    <dxf>
      <font>
        <b/>
        <color rgb="FFFFFFFF"/>
        <name val="Arial"/>
        <charset val="1"/>
      </font>
      <fill>
        <patternFill>
          <bgColor rgb="FFED7D31"/>
        </patternFill>
      </fill>
    </dxf>
    <dxf>
      <font>
        <b/>
        <color rgb="FFFFFFFF"/>
        <name val="Arial"/>
        <charset val="1"/>
      </font>
      <fill>
        <patternFill>
          <bgColor rgb="FFC00000"/>
        </patternFill>
      </fill>
    </dxf>
    <dxf>
      <font>
        <b/>
        <color rgb="FF000000"/>
        <name val="Arial"/>
        <charset val="1"/>
      </font>
      <fill>
        <patternFill>
          <bgColor rgb="FFF4CCCC"/>
        </patternFill>
      </fill>
    </dxf>
    <dxf>
      <font>
        <b/>
        <color rgb="FF000000"/>
        <name val="Arial"/>
        <charset val="1"/>
      </font>
      <fill>
        <patternFill>
          <bgColor rgb="FFF4CCCC"/>
        </patternFill>
      </fill>
    </dxf>
    <dxf>
      <font>
        <b/>
        <color rgb="FF000000"/>
        <name val="Arial"/>
        <charset val="1"/>
      </font>
      <fill>
        <patternFill>
          <bgColor rgb="FFF4CC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7030A0"/>
      <rgbColor rgb="FFFFF8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CFFCC"/>
      <rgbColor rgb="FFFFD966"/>
      <rgbColor rgb="FFA9D18E"/>
      <rgbColor rgb="FFFF99CC"/>
      <rgbColor rgb="FFCC99FF"/>
      <rgbColor rgb="FFF4CCCC"/>
      <rgbColor rgb="FF2E75B6"/>
      <rgbColor rgb="FF33CCCC"/>
      <rgbColor rgb="FF99CC00"/>
      <rgbColor rgb="FFFFCC00"/>
      <rgbColor rgb="FFFF9900"/>
      <rgbColor rgb="FFED7D31"/>
      <rgbColor rgb="FF595959"/>
      <rgbColor rgb="FF969696"/>
      <rgbColor rgb="FF1F3A5F"/>
      <rgbColor rgb="FF4F81BD"/>
      <rgbColor rgb="FF003300"/>
      <rgbColor rgb="FF333300"/>
      <rgbColor rgb="FFC55A11"/>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id-ID" sz="1800" b="1" strike="noStrike" spc="-1">
                <a:solidFill>
                  <a:srgbClr val="000000"/>
                </a:solidFill>
                <a:latin typeface="Calibri"/>
              </a:rPr>
              <a:t>Distribusi Severity CVSS</a:t>
            </a:r>
          </a:p>
        </c:rich>
      </c:tx>
      <c:overlay val="0"/>
      <c:spPr>
        <a:noFill/>
        <a:ln w="0">
          <a:noFill/>
          <a:prstDash val="solid"/>
        </a:ln>
      </c:spPr>
    </c:title>
    <c:autoTitleDeleted val="0"/>
    <c:plotArea>
      <c:layout/>
      <c:barChart>
        <c:barDir val="col"/>
        <c:grouping val="clustered"/>
        <c:varyColors val="0"/>
        <c:ser>
          <c:idx val="0"/>
          <c:order val="0"/>
          <c:tx>
            <c:strRef>
              <c:f>Ringkasan!$C$4</c:f>
              <c:strCache>
                <c:ptCount val="1"/>
                <c:pt idx="0">
                  <c:v>Jumlah kerentanan</c:v>
                </c:pt>
              </c:strCache>
            </c:strRef>
          </c:tx>
          <c:spPr>
            <a:solidFill>
              <a:srgbClr val="4F81BD"/>
            </a:solidFill>
            <a:ln w="0">
              <a:noFill/>
              <a:prstDash val="solid"/>
            </a:ln>
          </c:spPr>
          <c:invertIfNegative val="0"/>
          <c:dLbls>
            <c:spPr>
              <a:noFill/>
              <a:ln>
                <a:noFill/>
              </a:ln>
              <a:effectLst/>
            </c:spPr>
            <c:txPr>
              <a:bodyPr/>
              <a:lstStyle/>
              <a:p>
                <a:pPr>
                  <a:defRPr sz="1000" b="0" strike="noStrike" spc="-1">
                    <a:latin typeface="Arial"/>
                  </a:defRPr>
                </a:pPr>
                <a:endParaRPr lang="id-ID"/>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Ringkasan!$B$5:$B$9</c:f>
              <c:strCache>
                <c:ptCount val="5"/>
                <c:pt idx="0">
                  <c:v>CRITICAL</c:v>
                </c:pt>
                <c:pt idx="1">
                  <c:v>HIGH</c:v>
                </c:pt>
                <c:pt idx="2">
                  <c:v>MEDIUM</c:v>
                </c:pt>
                <c:pt idx="3">
                  <c:v>LOW</c:v>
                </c:pt>
                <c:pt idx="4">
                  <c:v>NONE</c:v>
                </c:pt>
              </c:strCache>
            </c:strRef>
          </c:cat>
          <c:val>
            <c:numRef>
              <c:f>Ringkasan!$C$5:$C$9</c:f>
              <c:numCache>
                <c:formatCode>General</c:formatCode>
                <c:ptCount val="5"/>
                <c:pt idx="0">
                  <c:v>1</c:v>
                </c:pt>
                <c:pt idx="1">
                  <c:v>4</c:v>
                </c:pt>
                <c:pt idx="2">
                  <c:v>4</c:v>
                </c:pt>
                <c:pt idx="3">
                  <c:v>0</c:v>
                </c:pt>
                <c:pt idx="4">
                  <c:v>0</c:v>
                </c:pt>
              </c:numCache>
            </c:numRef>
          </c:val>
          <c:extLst>
            <c:ext xmlns:c16="http://schemas.microsoft.com/office/drawing/2014/chart" uri="{C3380CC4-5D6E-409C-BE32-E72D297353CC}">
              <c16:uniqueId val="{00000000-09E1-44DC-B99D-2BC92717F5AD}"/>
            </c:ext>
          </c:extLst>
        </c:ser>
        <c:dLbls>
          <c:showLegendKey val="0"/>
          <c:showVal val="0"/>
          <c:showCatName val="0"/>
          <c:showSerName val="0"/>
          <c:showPercent val="0"/>
          <c:showBubbleSize val="0"/>
        </c:dLbls>
        <c:gapWidth val="150"/>
        <c:axId val="23652542"/>
        <c:axId val="6505283"/>
      </c:barChart>
      <c:catAx>
        <c:axId val="23652542"/>
        <c:scaling>
          <c:orientation val="minMax"/>
        </c:scaling>
        <c:delete val="0"/>
        <c:axPos val="b"/>
        <c:title>
          <c:tx>
            <c:rich>
              <a:bodyPr rot="0"/>
              <a:lstStyle/>
              <a:p>
                <a:pPr>
                  <a:defRPr sz="1000" b="1" strike="noStrike" spc="-1">
                    <a:solidFill>
                      <a:srgbClr val="000000"/>
                    </a:solidFill>
                    <a:latin typeface="Calibri"/>
                  </a:defRPr>
                </a:pPr>
                <a:r>
                  <a:rPr lang="id-ID" sz="1000" b="1" strike="noStrike" spc="-1">
                    <a:solidFill>
                      <a:srgbClr val="000000"/>
                    </a:solidFill>
                    <a:latin typeface="Calibri"/>
                  </a:rPr>
                  <a:t>Severity</a:t>
                </a:r>
              </a:p>
            </c:rich>
          </c:tx>
          <c:overlay val="0"/>
          <c:spPr>
            <a:noFill/>
            <a:ln w="0">
              <a:noFill/>
              <a:prstDash val="solid"/>
            </a:ln>
          </c:spPr>
        </c:title>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id-ID"/>
          </a:p>
        </c:txPr>
        <c:crossAx val="6505283"/>
        <c:crosses val="autoZero"/>
        <c:auto val="1"/>
        <c:lblAlgn val="ctr"/>
        <c:lblOffset val="100"/>
        <c:noMultiLvlLbl val="0"/>
      </c:catAx>
      <c:valAx>
        <c:axId val="6505283"/>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id-ID" sz="1000" b="1" strike="noStrike" spc="-1">
                    <a:solidFill>
                      <a:srgbClr val="000000"/>
                    </a:solidFill>
                    <a:latin typeface="Calibri"/>
                  </a:rPr>
                  <a:t>Jumlah kerentanan</a:t>
                </a:r>
              </a:p>
            </c:rich>
          </c:tx>
          <c:overlay val="0"/>
          <c:spPr>
            <a:noFill/>
            <a:ln w="0">
              <a:noFill/>
              <a:prstDash val="solid"/>
            </a:ln>
          </c:spPr>
        </c:title>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id-ID"/>
          </a:p>
        </c:txPr>
        <c:crossAx val="23652542"/>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id-ID"/>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131040</xdr:rowOff>
    </xdr:from>
    <xdr:to>
      <xdr:col>12</xdr:col>
      <xdr:colOff>147600</xdr:colOff>
      <xdr:row>17</xdr:row>
      <xdr:rowOff>153000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11"/>
  <sheetViews>
    <sheetView showGridLines="0" zoomScaleNormal="100" workbookViewId="0"/>
  </sheetViews>
  <sheetFormatPr defaultColWidth="8.6640625" defaultRowHeight="14.4" x14ac:dyDescent="0.3"/>
  <cols>
    <col min="1" max="1" width="3" customWidth="1"/>
    <col min="2" max="2" width="26" customWidth="1"/>
    <col min="3" max="3" width="100" customWidth="1"/>
  </cols>
  <sheetData>
    <row r="2" spans="2:3" ht="33.75" customHeight="1" x14ac:dyDescent="0.4">
      <c r="B2" s="39" t="s">
        <v>0</v>
      </c>
      <c r="C2" s="30"/>
    </row>
    <row r="3" spans="2:3" ht="15" customHeight="1" x14ac:dyDescent="0.3">
      <c r="B3" s="38" t="s">
        <v>1</v>
      </c>
      <c r="C3" s="30"/>
    </row>
    <row r="5" spans="2:3" ht="69.75" customHeight="1" x14ac:dyDescent="0.3">
      <c r="B5" s="1" t="s">
        <v>2</v>
      </c>
      <c r="C5" s="2" t="s">
        <v>3</v>
      </c>
    </row>
    <row r="6" spans="2:3" ht="97.5" customHeight="1" x14ac:dyDescent="0.3">
      <c r="B6" s="1" t="s">
        <v>4</v>
      </c>
      <c r="C6" s="2" t="s">
        <v>5</v>
      </c>
    </row>
    <row r="7" spans="2:3" ht="97.5" customHeight="1" x14ac:dyDescent="0.3">
      <c r="B7" s="1" t="s">
        <v>6</v>
      </c>
      <c r="C7" s="2" t="s">
        <v>7</v>
      </c>
    </row>
    <row r="8" spans="2:3" ht="69.75" customHeight="1" x14ac:dyDescent="0.3">
      <c r="B8" s="1" t="s">
        <v>8</v>
      </c>
      <c r="C8" s="2" t="s">
        <v>9</v>
      </c>
    </row>
    <row r="9" spans="2:3" ht="84" customHeight="1" x14ac:dyDescent="0.3">
      <c r="B9" s="1" t="s">
        <v>10</v>
      </c>
      <c r="C9" s="2" t="s">
        <v>11</v>
      </c>
    </row>
    <row r="10" spans="2:3" ht="69.75" customHeight="1" x14ac:dyDescent="0.3">
      <c r="B10" s="1" t="s">
        <v>12</v>
      </c>
      <c r="C10" s="2" t="s">
        <v>13</v>
      </c>
    </row>
    <row r="11" spans="2:3" ht="55.5" customHeight="1" x14ac:dyDescent="0.3">
      <c r="B11" s="1" t="s">
        <v>14</v>
      </c>
      <c r="C11" s="2" t="s">
        <v>15</v>
      </c>
    </row>
  </sheetData>
  <mergeCells count="2">
    <mergeCell ref="B3:C3"/>
    <mergeCell ref="B2:C2"/>
  </mergeCell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7"/>
  <sheetViews>
    <sheetView showGridLines="0" zoomScaleNormal="100" workbookViewId="0">
      <selection sqref="A1:C1"/>
    </sheetView>
  </sheetViews>
  <sheetFormatPr defaultColWidth="8.6640625" defaultRowHeight="14.4" x14ac:dyDescent="0.3"/>
  <cols>
    <col min="1" max="1" width="26" customWidth="1"/>
    <col min="2" max="3" width="46" customWidth="1"/>
  </cols>
  <sheetData>
    <row r="1" spans="1:3" ht="30" customHeight="1" x14ac:dyDescent="0.4">
      <c r="A1" s="40" t="s">
        <v>16</v>
      </c>
      <c r="B1" s="30"/>
      <c r="C1" s="30"/>
    </row>
    <row r="2" spans="1:3" ht="27.75" customHeight="1" x14ac:dyDescent="0.3">
      <c r="A2" s="41" t="s">
        <v>17</v>
      </c>
      <c r="B2" s="30"/>
      <c r="C2" s="30"/>
    </row>
    <row r="4" spans="1:3" ht="19.5" customHeight="1" x14ac:dyDescent="0.3">
      <c r="A4" s="3" t="s">
        <v>18</v>
      </c>
      <c r="B4" s="3" t="s">
        <v>19</v>
      </c>
      <c r="C4" s="3" t="s">
        <v>20</v>
      </c>
    </row>
    <row r="5" spans="1:3" ht="49.5" customHeight="1" x14ac:dyDescent="0.3">
      <c r="A5" s="4" t="s">
        <v>21</v>
      </c>
      <c r="B5" s="5" t="s">
        <v>22</v>
      </c>
      <c r="C5" s="5" t="s">
        <v>23</v>
      </c>
    </row>
    <row r="6" spans="1:3" ht="49.5" customHeight="1" x14ac:dyDescent="0.3">
      <c r="A6" s="4" t="s">
        <v>24</v>
      </c>
      <c r="B6" s="5" t="s">
        <v>25</v>
      </c>
      <c r="C6" s="5" t="s">
        <v>26</v>
      </c>
    </row>
    <row r="7" spans="1:3" ht="49.5" customHeight="1" x14ac:dyDescent="0.3">
      <c r="A7" s="4" t="s">
        <v>27</v>
      </c>
      <c r="B7" s="5" t="s">
        <v>28</v>
      </c>
      <c r="C7" s="5" t="s">
        <v>29</v>
      </c>
    </row>
    <row r="8" spans="1:3" ht="49.5" customHeight="1" x14ac:dyDescent="0.3">
      <c r="A8" s="4" t="s">
        <v>30</v>
      </c>
      <c r="B8" s="5" t="s">
        <v>31</v>
      </c>
      <c r="C8" s="5" t="s">
        <v>32</v>
      </c>
    </row>
    <row r="9" spans="1:3" ht="49.5" customHeight="1" x14ac:dyDescent="0.3">
      <c r="A9" s="4" t="s">
        <v>33</v>
      </c>
      <c r="B9" s="5" t="s">
        <v>34</v>
      </c>
      <c r="C9" s="5" t="s">
        <v>35</v>
      </c>
    </row>
    <row r="10" spans="1:3" ht="49.5" customHeight="1" x14ac:dyDescent="0.3">
      <c r="A10" s="4" t="s">
        <v>36</v>
      </c>
      <c r="B10" s="5" t="s">
        <v>37</v>
      </c>
      <c r="C10" s="5" t="s">
        <v>38</v>
      </c>
    </row>
    <row r="11" spans="1:3" ht="49.5" customHeight="1" x14ac:dyDescent="0.3">
      <c r="A11" s="4" t="s">
        <v>39</v>
      </c>
      <c r="B11" s="5" t="s">
        <v>40</v>
      </c>
      <c r="C11" s="5" t="s">
        <v>41</v>
      </c>
    </row>
    <row r="12" spans="1:3" ht="49.5" customHeight="1" x14ac:dyDescent="0.3">
      <c r="A12" s="4" t="s">
        <v>42</v>
      </c>
      <c r="B12" s="5" t="s">
        <v>43</v>
      </c>
      <c r="C12" s="5" t="s">
        <v>44</v>
      </c>
    </row>
    <row r="13" spans="1:3" ht="49.5" customHeight="1" x14ac:dyDescent="0.3">
      <c r="A13" s="4" t="s">
        <v>45</v>
      </c>
      <c r="B13" s="5" t="s">
        <v>46</v>
      </c>
      <c r="C13" s="5" t="s">
        <v>47</v>
      </c>
    </row>
    <row r="14" spans="1:3" ht="49.5" customHeight="1" x14ac:dyDescent="0.3">
      <c r="A14" s="4" t="s">
        <v>48</v>
      </c>
      <c r="B14" s="5" t="s">
        <v>49</v>
      </c>
      <c r="C14" s="5" t="s">
        <v>50</v>
      </c>
    </row>
    <row r="15" spans="1:3" ht="49.5" customHeight="1" x14ac:dyDescent="0.3">
      <c r="A15" s="4" t="s">
        <v>51</v>
      </c>
      <c r="B15" s="5" t="s">
        <v>52</v>
      </c>
      <c r="C15" s="5" t="s">
        <v>53</v>
      </c>
    </row>
    <row r="17" spans="1:3" ht="33.75" customHeight="1" x14ac:dyDescent="0.3">
      <c r="A17" s="41" t="s">
        <v>54</v>
      </c>
      <c r="B17" s="30"/>
      <c r="C17" s="30"/>
    </row>
  </sheetData>
  <mergeCells count="3">
    <mergeCell ref="A1:C1"/>
    <mergeCell ref="A2:C2"/>
    <mergeCell ref="A17:C17"/>
  </mergeCells>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44"/>
  <sheetViews>
    <sheetView tabSelected="1" zoomScaleNormal="100" workbookViewId="0">
      <pane xSplit="3" ySplit="4" topLeftCell="D5" activePane="bottomRight" state="frozen"/>
      <selection pane="topRight" activeCell="D1" sqref="D1"/>
      <selection pane="bottomLeft" activeCell="A5" sqref="A5"/>
      <selection pane="bottomRight" activeCell="V13" sqref="V13"/>
    </sheetView>
  </sheetViews>
  <sheetFormatPr defaultColWidth="8.6640625" defaultRowHeight="14.4" x14ac:dyDescent="0.3"/>
  <cols>
    <col min="1" max="1" width="5" customWidth="1"/>
    <col min="2" max="2" width="10" customWidth="1"/>
    <col min="3" max="3" width="58" customWidth="1"/>
    <col min="4" max="14" width="7" customWidth="1"/>
    <col min="15" max="15" width="34" customWidth="1"/>
    <col min="16" max="17" width="11" customWidth="1"/>
    <col min="18" max="18" width="9" customWidth="1"/>
    <col min="19" max="21" width="11" customWidth="1"/>
    <col min="22" max="22" width="70" customWidth="1"/>
  </cols>
  <sheetData>
    <row r="1" spans="1:22" ht="33.75" customHeight="1" x14ac:dyDescent="0.4">
      <c r="A1" s="31" t="s">
        <v>0</v>
      </c>
      <c r="B1" s="30"/>
      <c r="C1" s="30"/>
      <c r="D1" s="30"/>
      <c r="E1" s="30"/>
      <c r="F1" s="30"/>
      <c r="G1" s="30"/>
      <c r="H1" s="30"/>
      <c r="I1" s="30"/>
      <c r="J1" s="30"/>
      <c r="K1" s="30"/>
      <c r="L1" s="30"/>
      <c r="M1" s="30"/>
      <c r="N1" s="30"/>
      <c r="O1" s="30"/>
      <c r="P1" s="30"/>
      <c r="Q1" s="30"/>
      <c r="R1" s="30"/>
      <c r="S1" s="30"/>
      <c r="T1" s="30"/>
      <c r="U1" s="30"/>
      <c r="V1" s="30"/>
    </row>
    <row r="2" spans="1:22" ht="15.75" customHeight="1" x14ac:dyDescent="0.3">
      <c r="A2" s="29" t="s">
        <v>55</v>
      </c>
      <c r="B2" s="30"/>
      <c r="C2" s="30"/>
      <c r="D2" s="30"/>
      <c r="E2" s="30"/>
      <c r="F2" s="30"/>
      <c r="G2" s="30"/>
      <c r="H2" s="30"/>
      <c r="I2" s="30"/>
      <c r="J2" s="30"/>
      <c r="K2" s="30"/>
      <c r="L2" s="30"/>
      <c r="M2" s="30"/>
      <c r="N2" s="30"/>
      <c r="O2" s="30"/>
      <c r="P2" s="30"/>
      <c r="Q2" s="30"/>
      <c r="R2" s="30"/>
      <c r="S2" s="30"/>
      <c r="T2" s="30"/>
      <c r="U2" s="30"/>
      <c r="V2" s="30"/>
    </row>
    <row r="3" spans="1:22" ht="15.75" customHeight="1" x14ac:dyDescent="0.3">
      <c r="A3" s="34" t="s">
        <v>56</v>
      </c>
      <c r="B3" s="33"/>
      <c r="C3" s="33"/>
      <c r="D3" s="37" t="s">
        <v>57</v>
      </c>
      <c r="E3" s="33"/>
      <c r="F3" s="33"/>
      <c r="G3" s="33"/>
      <c r="H3" s="33"/>
      <c r="I3" s="35" t="s">
        <v>58</v>
      </c>
      <c r="J3" s="33"/>
      <c r="K3" s="33"/>
      <c r="L3" s="33"/>
      <c r="M3" s="33"/>
      <c r="N3" s="33"/>
      <c r="O3" s="32" t="s">
        <v>59</v>
      </c>
      <c r="P3" s="33"/>
      <c r="Q3" s="33"/>
      <c r="R3" s="33"/>
      <c r="S3" s="36" t="s">
        <v>60</v>
      </c>
      <c r="T3" s="33"/>
      <c r="U3" s="33"/>
      <c r="V3" s="6" t="s">
        <v>61</v>
      </c>
    </row>
    <row r="4" spans="1:22" ht="43.5" customHeight="1" x14ac:dyDescent="0.3">
      <c r="A4" s="7" t="s">
        <v>62</v>
      </c>
      <c r="B4" s="7" t="s">
        <v>63</v>
      </c>
      <c r="C4" s="7" t="s">
        <v>64</v>
      </c>
      <c r="D4" s="8" t="s">
        <v>65</v>
      </c>
      <c r="E4" s="8" t="s">
        <v>66</v>
      </c>
      <c r="F4" s="8" t="s">
        <v>67</v>
      </c>
      <c r="G4" s="8" t="s">
        <v>68</v>
      </c>
      <c r="H4" s="8" t="s">
        <v>69</v>
      </c>
      <c r="I4" s="9" t="s">
        <v>70</v>
      </c>
      <c r="J4" s="9" t="s">
        <v>71</v>
      </c>
      <c r="K4" s="9" t="s">
        <v>72</v>
      </c>
      <c r="L4" s="9" t="s">
        <v>73</v>
      </c>
      <c r="M4" s="9" t="s">
        <v>74</v>
      </c>
      <c r="N4" s="9" t="s">
        <v>75</v>
      </c>
      <c r="O4" s="10" t="s">
        <v>76</v>
      </c>
      <c r="P4" s="10" t="s">
        <v>77</v>
      </c>
      <c r="Q4" s="10" t="s">
        <v>78</v>
      </c>
      <c r="R4" s="10" t="s">
        <v>79</v>
      </c>
      <c r="S4" s="11" t="s">
        <v>80</v>
      </c>
      <c r="T4" s="11" t="s">
        <v>81</v>
      </c>
      <c r="U4" s="11" t="s">
        <v>82</v>
      </c>
      <c r="V4" s="7" t="s">
        <v>83</v>
      </c>
    </row>
    <row r="5" spans="1:22" ht="134.25" customHeight="1" x14ac:dyDescent="0.3">
      <c r="A5" s="12">
        <v>1</v>
      </c>
      <c r="B5" s="47" t="s">
        <v>148</v>
      </c>
      <c r="C5" s="13" t="s">
        <v>151</v>
      </c>
      <c r="D5" s="14" t="s">
        <v>107</v>
      </c>
      <c r="E5" s="14" t="s">
        <v>113</v>
      </c>
      <c r="F5" s="14" t="s">
        <v>107</v>
      </c>
      <c r="G5" s="14" t="s">
        <v>113</v>
      </c>
      <c r="H5" s="48" t="s">
        <v>107</v>
      </c>
      <c r="I5" s="14" t="s">
        <v>113</v>
      </c>
      <c r="J5" s="14" t="s">
        <v>122</v>
      </c>
      <c r="K5" s="14" t="s">
        <v>107</v>
      </c>
      <c r="L5" s="14" t="s">
        <v>107</v>
      </c>
      <c r="M5" s="14" t="s">
        <v>107</v>
      </c>
      <c r="N5" s="14" t="s">
        <v>107</v>
      </c>
      <c r="O5" s="15" t="str">
        <f>IF(COUNTBLANK(D5:N5)&gt;0,"","CVSS:4.0/AV:"&amp;D5&amp;"/AC:"&amp;E5&amp;"/AT:"&amp;F5&amp;"/PR:"&amp;G5&amp;"/UI:"&amp;H5&amp;"/VC:"&amp;I5&amp;"/VI:"&amp;J5&amp;"/VA:"&amp;K5&amp;"/SC:"&amp;L5&amp;"/SI:"&amp;M5&amp;"/SA:"&amp;N5)</f>
        <v>CVSS:4.0/AV:N/AC:L/AT:N/PR:L/UI:N/VC:L/VI:H/VA:N/SC:N/SI:N/SA:N</v>
      </c>
      <c r="P5" s="49">
        <v>7.1</v>
      </c>
      <c r="Q5" s="12" t="str">
        <f>IF(P5="","",IF(P5=0,"NONE",IF(P5&lt;CVSS_Guidelines!$B$29,"LOW",IF(P5&lt;CVSS_Guidelines!$B$28,"MEDIUM",IF(P5&lt;CVSS_Guidelines!$B$27,"HIGH","CRITICAL")))))</f>
        <v>HIGH</v>
      </c>
      <c r="R5" s="12">
        <f t="shared" ref="R5:R44" si="0">IF(P5="","",RANK(P5,$P$5:$P$44,0))</f>
        <v>5</v>
      </c>
      <c r="S5" s="14">
        <v>40</v>
      </c>
      <c r="T5" s="12" t="str">
        <f t="shared" ref="T5:T44" si="1">IF(S5="","",IF(S5&gt;=40,"CRITICAL",IF(S5&gt;=30,"HIGH",IF(S5&gt;=20,"MEDIUM","LOW"))))</f>
        <v>CRITICAL</v>
      </c>
      <c r="U5" s="12" t="str">
        <f t="shared" ref="U5:U44" si="2">IF(OR(Q5="",T5=""),"",IF(Q5=T5,"Sama","Berbeda"))</f>
        <v>Berbeda</v>
      </c>
      <c r="V5" s="13" t="s">
        <v>152</v>
      </c>
    </row>
    <row r="6" spans="1:22" ht="143.25" customHeight="1" x14ac:dyDescent="0.3">
      <c r="A6" s="12">
        <v>2</v>
      </c>
      <c r="B6" s="47" t="s">
        <v>149</v>
      </c>
      <c r="C6" s="13" t="s">
        <v>159</v>
      </c>
      <c r="D6" s="14" t="s">
        <v>107</v>
      </c>
      <c r="E6" s="14" t="s">
        <v>113</v>
      </c>
      <c r="F6" s="14" t="s">
        <v>107</v>
      </c>
      <c r="G6" s="14" t="s">
        <v>107</v>
      </c>
      <c r="H6" s="14" t="s">
        <v>107</v>
      </c>
      <c r="I6" s="14" t="s">
        <v>107</v>
      </c>
      <c r="J6" s="14" t="s">
        <v>107</v>
      </c>
      <c r="K6" s="14" t="s">
        <v>122</v>
      </c>
      <c r="L6" s="14" t="s">
        <v>107</v>
      </c>
      <c r="M6" s="50" t="s">
        <v>107</v>
      </c>
      <c r="N6" s="14" t="s">
        <v>107</v>
      </c>
      <c r="O6" s="15" t="str">
        <f t="shared" ref="O5:O44" si="3">IF(COUNTBLANK(D6:N6)&gt;0,"","CVSS:4.0/AV:"&amp;D6&amp;"/AC:"&amp;E6&amp;"/AT:"&amp;F6&amp;"/PR:"&amp;G6&amp;"/UI:"&amp;H6&amp;"/VC:"&amp;I6&amp;"/VI:"&amp;J6&amp;"/VA:"&amp;K6&amp;"/SC:"&amp;L6&amp;"/SI:"&amp;M6&amp;"/SA:"&amp;N6)</f>
        <v>CVSS:4.0/AV:N/AC:L/AT:N/PR:N/UI:N/VC:N/VI:N/VA:H/SC:N/SI:N/SA:N</v>
      </c>
      <c r="P6" s="16">
        <v>8.6999999999999993</v>
      </c>
      <c r="Q6" s="12" t="str">
        <f>IF(P6="","",IF(P6=0,"NONE",IF(P6&lt;CVSS_Guidelines!$B$29,"LOW",IF(P6&lt;CVSS_Guidelines!$B$28,"MEDIUM",IF(P6&lt;CVSS_Guidelines!$B$27,"HIGH","CRITICAL")))))</f>
        <v>HIGH</v>
      </c>
      <c r="R6" s="12">
        <f t="shared" si="0"/>
        <v>2</v>
      </c>
      <c r="S6" s="14">
        <v>40</v>
      </c>
      <c r="T6" s="12" t="str">
        <f t="shared" si="1"/>
        <v>CRITICAL</v>
      </c>
      <c r="U6" s="12" t="str">
        <f t="shared" si="2"/>
        <v>Berbeda</v>
      </c>
      <c r="V6" s="47" t="s">
        <v>167</v>
      </c>
    </row>
    <row r="7" spans="1:22" ht="120.75" customHeight="1" x14ac:dyDescent="0.3">
      <c r="A7" s="12">
        <v>3</v>
      </c>
      <c r="B7" s="47" t="s">
        <v>150</v>
      </c>
      <c r="C7" s="13" t="s">
        <v>160</v>
      </c>
      <c r="D7" s="14" t="s">
        <v>107</v>
      </c>
      <c r="E7" s="14" t="s">
        <v>113</v>
      </c>
      <c r="F7" s="14" t="s">
        <v>116</v>
      </c>
      <c r="G7" s="14" t="s">
        <v>107</v>
      </c>
      <c r="H7" s="14" t="s">
        <v>107</v>
      </c>
      <c r="I7" s="14" t="s">
        <v>107</v>
      </c>
      <c r="J7" s="14" t="s">
        <v>122</v>
      </c>
      <c r="K7" s="14" t="s">
        <v>107</v>
      </c>
      <c r="L7" s="14" t="s">
        <v>107</v>
      </c>
      <c r="M7" s="14" t="s">
        <v>107</v>
      </c>
      <c r="N7" s="14" t="s">
        <v>107</v>
      </c>
      <c r="O7" s="15" t="str">
        <f t="shared" si="3"/>
        <v>CVSS:4.0/AV:N/AC:L/AT:P/PR:N/UI:N/VC:N/VI:H/VA:N/SC:N/SI:N/SA:N</v>
      </c>
      <c r="P7" s="16">
        <v>8.1999999999999993</v>
      </c>
      <c r="Q7" s="12" t="str">
        <f>IF(P7="","",IF(P7=0,"NONE",IF(P7&lt;CVSS_Guidelines!$B$29,"LOW",IF(P7&lt;CVSS_Guidelines!$B$28,"MEDIUM",IF(P7&lt;CVSS_Guidelines!$B$27,"HIGH","CRITICAL")))))</f>
        <v>HIGH</v>
      </c>
      <c r="R7" s="12">
        <f t="shared" si="0"/>
        <v>3</v>
      </c>
      <c r="S7" s="14">
        <v>39</v>
      </c>
      <c r="T7" s="12" t="str">
        <f t="shared" si="1"/>
        <v>HIGH</v>
      </c>
      <c r="U7" s="12" t="str">
        <f t="shared" si="2"/>
        <v>Sama</v>
      </c>
      <c r="V7" s="13" t="s">
        <v>168</v>
      </c>
    </row>
    <row r="8" spans="1:22" ht="154.5" customHeight="1" x14ac:dyDescent="0.3">
      <c r="A8" s="12">
        <v>4</v>
      </c>
      <c r="B8" s="47" t="s">
        <v>153</v>
      </c>
      <c r="C8" s="47" t="s">
        <v>166</v>
      </c>
      <c r="D8" s="48" t="s">
        <v>107</v>
      </c>
      <c r="E8" s="14" t="s">
        <v>113</v>
      </c>
      <c r="F8" s="14" t="s">
        <v>107</v>
      </c>
      <c r="G8" s="14" t="s">
        <v>113</v>
      </c>
      <c r="H8" s="14" t="s">
        <v>107</v>
      </c>
      <c r="I8" s="14" t="s">
        <v>107</v>
      </c>
      <c r="J8" s="14" t="s">
        <v>107</v>
      </c>
      <c r="K8" s="14" t="s">
        <v>113</v>
      </c>
      <c r="L8" s="14" t="s">
        <v>107</v>
      </c>
      <c r="M8" s="14" t="s">
        <v>107</v>
      </c>
      <c r="N8" s="14" t="s">
        <v>107</v>
      </c>
      <c r="O8" s="15" t="str">
        <f t="shared" si="3"/>
        <v>CVSS:4.0/AV:N/AC:L/AT:N/PR:L/UI:N/VC:N/VI:N/VA:L/SC:N/SI:N/SA:N</v>
      </c>
      <c r="P8" s="16">
        <v>5.3</v>
      </c>
      <c r="Q8" s="12" t="str">
        <f>IF(P8="","",IF(P8=0,"NONE",IF(P8&lt;CVSS_Guidelines!$B$29,"LOW",IF(P8&lt;CVSS_Guidelines!$B$28,"MEDIUM",IF(P8&lt;CVSS_Guidelines!$B$27,"HIGH","CRITICAL")))))</f>
        <v>MEDIUM</v>
      </c>
      <c r="R8" s="12">
        <f t="shared" si="0"/>
        <v>6</v>
      </c>
      <c r="S8" s="14">
        <v>38</v>
      </c>
      <c r="T8" s="12" t="str">
        <f t="shared" si="1"/>
        <v>HIGH</v>
      </c>
      <c r="U8" s="12" t="str">
        <f t="shared" si="2"/>
        <v>Berbeda</v>
      </c>
      <c r="V8" s="47" t="s">
        <v>169</v>
      </c>
    </row>
    <row r="9" spans="1:22" ht="145.5" customHeight="1" x14ac:dyDescent="0.3">
      <c r="A9" s="12">
        <v>5</v>
      </c>
      <c r="B9" s="47" t="s">
        <v>154</v>
      </c>
      <c r="C9" s="13" t="s">
        <v>165</v>
      </c>
      <c r="D9" s="14" t="s">
        <v>107</v>
      </c>
      <c r="E9" s="14" t="s">
        <v>113</v>
      </c>
      <c r="F9" s="14" t="s">
        <v>107</v>
      </c>
      <c r="G9" s="14" t="s">
        <v>113</v>
      </c>
      <c r="H9" s="14" t="s">
        <v>116</v>
      </c>
      <c r="I9" s="14" t="s">
        <v>113</v>
      </c>
      <c r="J9" s="14" t="s">
        <v>113</v>
      </c>
      <c r="K9" s="14" t="s">
        <v>107</v>
      </c>
      <c r="L9" s="14" t="s">
        <v>107</v>
      </c>
      <c r="M9" s="14" t="s">
        <v>107</v>
      </c>
      <c r="N9" s="14" t="s">
        <v>107</v>
      </c>
      <c r="O9" s="15" t="str">
        <f t="shared" si="3"/>
        <v>CVSS:4.0/AV:N/AC:L/AT:N/PR:L/UI:P/VC:L/VI:L/VA:N/SC:N/SI:N/SA:N</v>
      </c>
      <c r="P9" s="16">
        <v>5.0999999999999996</v>
      </c>
      <c r="Q9" s="12" t="str">
        <f>IF(P9="","",IF(P9=0,"NONE",IF(P9&lt;CVSS_Guidelines!$B$29,"LOW",IF(P9&lt;CVSS_Guidelines!$B$28,"MEDIUM",IF(P9&lt;CVSS_Guidelines!$B$27,"HIGH","CRITICAL")))))</f>
        <v>MEDIUM</v>
      </c>
      <c r="R9" s="12">
        <f t="shared" si="0"/>
        <v>8</v>
      </c>
      <c r="S9" s="14">
        <v>37</v>
      </c>
      <c r="T9" s="12" t="str">
        <f t="shared" si="1"/>
        <v>HIGH</v>
      </c>
      <c r="U9" s="12" t="str">
        <f t="shared" si="2"/>
        <v>Berbeda</v>
      </c>
      <c r="V9" s="13" t="s">
        <v>170</v>
      </c>
    </row>
    <row r="10" spans="1:22" ht="175.5" customHeight="1" x14ac:dyDescent="0.3">
      <c r="A10" s="12">
        <v>6</v>
      </c>
      <c r="B10" s="47" t="s">
        <v>155</v>
      </c>
      <c r="C10" s="13" t="s">
        <v>164</v>
      </c>
      <c r="D10" s="14" t="s">
        <v>107</v>
      </c>
      <c r="E10" s="14" t="s">
        <v>113</v>
      </c>
      <c r="F10" s="14" t="s">
        <v>107</v>
      </c>
      <c r="G10" s="14" t="s">
        <v>107</v>
      </c>
      <c r="H10" s="14" t="s">
        <v>107</v>
      </c>
      <c r="I10" s="14" t="s">
        <v>122</v>
      </c>
      <c r="J10" s="14" t="s">
        <v>122</v>
      </c>
      <c r="K10" s="14" t="s">
        <v>122</v>
      </c>
      <c r="L10" s="14" t="s">
        <v>107</v>
      </c>
      <c r="M10" s="14" t="s">
        <v>107</v>
      </c>
      <c r="N10" s="14" t="s">
        <v>107</v>
      </c>
      <c r="O10" s="15" t="str">
        <f t="shared" si="3"/>
        <v>CVSS:4.0/AV:N/AC:L/AT:N/PR:N/UI:N/VC:H/VI:H/VA:H/SC:N/SI:N/SA:N</v>
      </c>
      <c r="P10" s="16">
        <v>9.3000000000000007</v>
      </c>
      <c r="Q10" s="12" t="str">
        <f>IF(P10="","",IF(P10=0,"NONE",IF(P10&lt;CVSS_Guidelines!$B$29,"LOW",IF(P10&lt;CVSS_Guidelines!$B$28,"MEDIUM",IF(P10&lt;CVSS_Guidelines!$B$27,"HIGH","CRITICAL")))))</f>
        <v>CRITICAL</v>
      </c>
      <c r="R10" s="12">
        <f t="shared" si="0"/>
        <v>1</v>
      </c>
      <c r="S10" s="14">
        <v>37</v>
      </c>
      <c r="T10" s="12" t="str">
        <f t="shared" si="1"/>
        <v>HIGH</v>
      </c>
      <c r="U10" s="12" t="str">
        <f t="shared" si="2"/>
        <v>Berbeda</v>
      </c>
      <c r="V10" s="13" t="s">
        <v>171</v>
      </c>
    </row>
    <row r="11" spans="1:22" ht="163.5" customHeight="1" x14ac:dyDescent="0.3">
      <c r="A11" s="12">
        <v>7</v>
      </c>
      <c r="B11" s="47" t="s">
        <v>156</v>
      </c>
      <c r="C11" s="13" t="s">
        <v>163</v>
      </c>
      <c r="D11" s="14" t="s">
        <v>107</v>
      </c>
      <c r="E11" s="14" t="s">
        <v>113</v>
      </c>
      <c r="F11" s="14" t="s">
        <v>107</v>
      </c>
      <c r="G11" s="14" t="s">
        <v>113</v>
      </c>
      <c r="H11" s="14" t="s">
        <v>116</v>
      </c>
      <c r="I11" s="14" t="s">
        <v>113</v>
      </c>
      <c r="J11" s="14" t="s">
        <v>113</v>
      </c>
      <c r="K11" s="14" t="s">
        <v>107</v>
      </c>
      <c r="L11" s="14" t="s">
        <v>107</v>
      </c>
      <c r="M11" s="14" t="s">
        <v>107</v>
      </c>
      <c r="N11" s="14" t="s">
        <v>107</v>
      </c>
      <c r="O11" s="15" t="str">
        <f t="shared" si="3"/>
        <v>CVSS:4.0/AV:N/AC:L/AT:N/PR:L/UI:P/VC:L/VI:L/VA:N/SC:N/SI:N/SA:N</v>
      </c>
      <c r="P11" s="16">
        <v>5.0999999999999996</v>
      </c>
      <c r="Q11" s="12" t="str">
        <f>IF(P11="","",IF(P11=0,"NONE",IF(P11&lt;CVSS_Guidelines!$B$29,"LOW",IF(P11&lt;CVSS_Guidelines!$B$28,"MEDIUM",IF(P11&lt;CVSS_Guidelines!$B$27,"HIGH","CRITICAL")))))</f>
        <v>MEDIUM</v>
      </c>
      <c r="R11" s="12">
        <f t="shared" si="0"/>
        <v>8</v>
      </c>
      <c r="S11" s="14">
        <v>34</v>
      </c>
      <c r="T11" s="12" t="str">
        <f t="shared" si="1"/>
        <v>HIGH</v>
      </c>
      <c r="U11" s="12" t="str">
        <f t="shared" si="2"/>
        <v>Berbeda</v>
      </c>
      <c r="V11" s="13" t="s">
        <v>172</v>
      </c>
    </row>
    <row r="12" spans="1:22" ht="132" customHeight="1" x14ac:dyDescent="0.3">
      <c r="A12" s="12">
        <v>8</v>
      </c>
      <c r="B12" s="47" t="s">
        <v>157</v>
      </c>
      <c r="C12" s="13" t="s">
        <v>161</v>
      </c>
      <c r="D12" s="14" t="s">
        <v>110</v>
      </c>
      <c r="E12" s="14" t="s">
        <v>113</v>
      </c>
      <c r="F12" s="14" t="s">
        <v>116</v>
      </c>
      <c r="G12" s="14" t="s">
        <v>107</v>
      </c>
      <c r="H12" s="14" t="s">
        <v>116</v>
      </c>
      <c r="I12" s="14" t="s">
        <v>122</v>
      </c>
      <c r="J12" s="14" t="s">
        <v>122</v>
      </c>
      <c r="K12" s="14" t="s">
        <v>107</v>
      </c>
      <c r="L12" s="14" t="s">
        <v>107</v>
      </c>
      <c r="M12" s="14" t="s">
        <v>107</v>
      </c>
      <c r="N12" s="14" t="s">
        <v>107</v>
      </c>
      <c r="O12" s="15" t="str">
        <f t="shared" si="3"/>
        <v>CVSS:4.0/AV:A/AC:L/AT:P/PR:N/UI:P/VC:H/VI:H/VA:N/SC:N/SI:N/SA:N</v>
      </c>
      <c r="P12" s="16">
        <v>7.4</v>
      </c>
      <c r="Q12" s="12" t="str">
        <f>IF(P12="","",IF(P12=0,"NONE",IF(P12&lt;CVSS_Guidelines!$B$29,"LOW",IF(P12&lt;CVSS_Guidelines!$B$28,"MEDIUM",IF(P12&lt;CVSS_Guidelines!$B$27,"HIGH","CRITICAL")))))</f>
        <v>HIGH</v>
      </c>
      <c r="R12" s="12">
        <f t="shared" si="0"/>
        <v>4</v>
      </c>
      <c r="S12" s="14">
        <v>34</v>
      </c>
      <c r="T12" s="12" t="str">
        <f t="shared" si="1"/>
        <v>HIGH</v>
      </c>
      <c r="U12" s="12" t="str">
        <f t="shared" si="2"/>
        <v>Sama</v>
      </c>
      <c r="V12" s="13" t="s">
        <v>173</v>
      </c>
    </row>
    <row r="13" spans="1:22" ht="155.25" customHeight="1" x14ac:dyDescent="0.3">
      <c r="A13" s="12">
        <v>9</v>
      </c>
      <c r="B13" s="47" t="s">
        <v>158</v>
      </c>
      <c r="C13" s="13" t="s">
        <v>162</v>
      </c>
      <c r="D13" s="14" t="s">
        <v>107</v>
      </c>
      <c r="E13" s="14" t="s">
        <v>113</v>
      </c>
      <c r="F13" s="14" t="s">
        <v>107</v>
      </c>
      <c r="G13" s="14" t="s">
        <v>113</v>
      </c>
      <c r="H13" s="14" t="s">
        <v>107</v>
      </c>
      <c r="I13" s="14" t="s">
        <v>113</v>
      </c>
      <c r="J13" s="14" t="s">
        <v>113</v>
      </c>
      <c r="K13" s="14" t="s">
        <v>107</v>
      </c>
      <c r="L13" s="14" t="s">
        <v>107</v>
      </c>
      <c r="M13" s="14" t="s">
        <v>107</v>
      </c>
      <c r="N13" s="14" t="s">
        <v>107</v>
      </c>
      <c r="O13" s="15" t="str">
        <f t="shared" si="3"/>
        <v>CVSS:4.0/AV:N/AC:L/AT:N/PR:L/UI:N/VC:L/VI:L/VA:N/SC:N/SI:N/SA:N</v>
      </c>
      <c r="P13" s="16">
        <v>5.3</v>
      </c>
      <c r="Q13" s="12" t="str">
        <f>IF(P13="","",IF(P13=0,"NONE",IF(P13&lt;CVSS_Guidelines!$B$29,"LOW",IF(P13&lt;CVSS_Guidelines!$B$28,"MEDIUM",IF(P13&lt;CVSS_Guidelines!$B$27,"HIGH","CRITICAL")))))</f>
        <v>MEDIUM</v>
      </c>
      <c r="R13" s="12">
        <f t="shared" si="0"/>
        <v>6</v>
      </c>
      <c r="S13" s="14">
        <v>33</v>
      </c>
      <c r="T13" s="12" t="str">
        <f t="shared" si="1"/>
        <v>HIGH</v>
      </c>
      <c r="U13" s="12" t="str">
        <f t="shared" si="2"/>
        <v>Berbeda</v>
      </c>
      <c r="V13" s="13" t="s">
        <v>174</v>
      </c>
    </row>
    <row r="14" spans="1:22" ht="136.5" customHeight="1" x14ac:dyDescent="0.3">
      <c r="A14" s="12">
        <v>10</v>
      </c>
      <c r="B14" s="13"/>
      <c r="C14" s="13"/>
      <c r="D14" s="14"/>
      <c r="E14" s="14"/>
      <c r="F14" s="14"/>
      <c r="G14" s="14"/>
      <c r="H14" s="14"/>
      <c r="I14" s="14"/>
      <c r="J14" s="14"/>
      <c r="K14" s="14"/>
      <c r="L14" s="14"/>
      <c r="M14" s="14"/>
      <c r="N14" s="14"/>
      <c r="O14" s="15" t="str">
        <f t="shared" si="3"/>
        <v/>
      </c>
      <c r="P14" s="16"/>
      <c r="Q14" s="12" t="str">
        <f>IF(P14="","",IF(P14=0,"NONE",IF(P14&lt;CVSS_Guidelines!$B$29,"LOW",IF(P14&lt;CVSS_Guidelines!$B$28,"MEDIUM",IF(P14&lt;CVSS_Guidelines!$B$27,"HIGH","CRITICAL")))))</f>
        <v/>
      </c>
      <c r="R14" s="12" t="str">
        <f t="shared" si="0"/>
        <v/>
      </c>
      <c r="S14" s="14"/>
      <c r="T14" s="12" t="str">
        <f t="shared" si="1"/>
        <v/>
      </c>
      <c r="U14" s="12" t="str">
        <f t="shared" si="2"/>
        <v/>
      </c>
      <c r="V14" s="13"/>
    </row>
    <row r="15" spans="1:22" ht="146.25" customHeight="1" x14ac:dyDescent="0.3">
      <c r="A15" s="12">
        <v>11</v>
      </c>
      <c r="B15" s="13"/>
      <c r="C15" s="13"/>
      <c r="D15" s="14"/>
      <c r="E15" s="14"/>
      <c r="F15" s="14"/>
      <c r="G15" s="14"/>
      <c r="H15" s="14"/>
      <c r="I15" s="14"/>
      <c r="J15" s="14"/>
      <c r="K15" s="14"/>
      <c r="L15" s="14"/>
      <c r="M15" s="14"/>
      <c r="N15" s="14"/>
      <c r="O15" s="15" t="str">
        <f t="shared" si="3"/>
        <v/>
      </c>
      <c r="P15" s="16"/>
      <c r="Q15" s="12" t="str">
        <f>IF(P15="","",IF(P15=0,"NONE",IF(P15&lt;CVSS_Guidelines!$B$29,"LOW",IF(P15&lt;CVSS_Guidelines!$B$28,"MEDIUM",IF(P15&lt;CVSS_Guidelines!$B$27,"HIGH","CRITICAL")))))</f>
        <v/>
      </c>
      <c r="R15" s="12" t="str">
        <f t="shared" si="0"/>
        <v/>
      </c>
      <c r="S15" s="14"/>
      <c r="T15" s="12" t="str">
        <f t="shared" si="1"/>
        <v/>
      </c>
      <c r="U15" s="12" t="str">
        <f t="shared" si="2"/>
        <v/>
      </c>
      <c r="V15" s="13"/>
    </row>
    <row r="16" spans="1:22" ht="152.25" customHeight="1" x14ac:dyDescent="0.3">
      <c r="A16" s="12">
        <v>12</v>
      </c>
      <c r="B16" s="13"/>
      <c r="C16" s="13"/>
      <c r="D16" s="14"/>
      <c r="E16" s="14"/>
      <c r="F16" s="14"/>
      <c r="G16" s="14"/>
      <c r="H16" s="14"/>
      <c r="I16" s="14"/>
      <c r="J16" s="14"/>
      <c r="K16" s="14"/>
      <c r="L16" s="14"/>
      <c r="M16" s="14"/>
      <c r="N16" s="14"/>
      <c r="O16" s="15" t="str">
        <f t="shared" si="3"/>
        <v/>
      </c>
      <c r="P16" s="16"/>
      <c r="Q16" s="12" t="str">
        <f>IF(P16="","",IF(P16=0,"NONE",IF(P16&lt;CVSS_Guidelines!$B$29,"LOW",IF(P16&lt;CVSS_Guidelines!$B$28,"MEDIUM",IF(P16&lt;CVSS_Guidelines!$B$27,"HIGH","CRITICAL")))))</f>
        <v/>
      </c>
      <c r="R16" s="12" t="str">
        <f t="shared" si="0"/>
        <v/>
      </c>
      <c r="S16" s="14"/>
      <c r="T16" s="12" t="str">
        <f t="shared" si="1"/>
        <v/>
      </c>
      <c r="U16" s="12" t="str">
        <f t="shared" si="2"/>
        <v/>
      </c>
      <c r="V16" s="13"/>
    </row>
    <row r="17" spans="1:22" ht="147" customHeight="1" x14ac:dyDescent="0.3">
      <c r="A17" s="12">
        <v>13</v>
      </c>
      <c r="B17" s="13"/>
      <c r="C17" s="13"/>
      <c r="D17" s="14"/>
      <c r="E17" s="14"/>
      <c r="F17" s="14"/>
      <c r="G17" s="14"/>
      <c r="H17" s="14"/>
      <c r="I17" s="14"/>
      <c r="J17" s="14"/>
      <c r="K17" s="14"/>
      <c r="L17" s="14"/>
      <c r="M17" s="14"/>
      <c r="N17" s="14"/>
      <c r="O17" s="15" t="str">
        <f t="shared" si="3"/>
        <v/>
      </c>
      <c r="P17" s="16"/>
      <c r="Q17" s="12" t="str">
        <f>IF(P17="","",IF(P17=0,"NONE",IF(P17&lt;CVSS_Guidelines!$B$29,"LOW",IF(P17&lt;CVSS_Guidelines!$B$28,"MEDIUM",IF(P17&lt;CVSS_Guidelines!$B$27,"HIGH","CRITICAL")))))</f>
        <v/>
      </c>
      <c r="R17" s="12" t="str">
        <f t="shared" si="0"/>
        <v/>
      </c>
      <c r="S17" s="14"/>
      <c r="T17" s="12" t="str">
        <f t="shared" si="1"/>
        <v/>
      </c>
      <c r="U17" s="12" t="str">
        <f t="shared" si="2"/>
        <v/>
      </c>
      <c r="V17" s="13"/>
    </row>
    <row r="18" spans="1:22" ht="227.25" customHeight="1" x14ac:dyDescent="0.3">
      <c r="A18" s="12">
        <v>14</v>
      </c>
      <c r="B18" s="13"/>
      <c r="C18" s="13"/>
      <c r="D18" s="14"/>
      <c r="E18" s="14"/>
      <c r="F18" s="14"/>
      <c r="G18" s="14"/>
      <c r="H18" s="14"/>
      <c r="I18" s="14"/>
      <c r="J18" s="14"/>
      <c r="K18" s="14"/>
      <c r="L18" s="14"/>
      <c r="M18" s="14"/>
      <c r="N18" s="14"/>
      <c r="O18" s="15" t="str">
        <f t="shared" si="3"/>
        <v/>
      </c>
      <c r="P18" s="16"/>
      <c r="Q18" s="12" t="str">
        <f>IF(P18="","",IF(P18=0,"NONE",IF(P18&lt;CVSS_Guidelines!$B$29,"LOW",IF(P18&lt;CVSS_Guidelines!$B$28,"MEDIUM",IF(P18&lt;CVSS_Guidelines!$B$27,"HIGH","CRITICAL")))))</f>
        <v/>
      </c>
      <c r="R18" s="12" t="str">
        <f t="shared" si="0"/>
        <v/>
      </c>
      <c r="S18" s="14"/>
      <c r="T18" s="12" t="str">
        <f t="shared" si="1"/>
        <v/>
      </c>
      <c r="U18" s="12" t="str">
        <f t="shared" si="2"/>
        <v/>
      </c>
      <c r="V18" s="13"/>
    </row>
    <row r="19" spans="1:22" ht="132.75" customHeight="1" x14ac:dyDescent="0.3">
      <c r="A19" s="12">
        <v>15</v>
      </c>
      <c r="B19" s="13"/>
      <c r="C19" s="13"/>
      <c r="D19" s="14"/>
      <c r="E19" s="14"/>
      <c r="F19" s="14"/>
      <c r="G19" s="14"/>
      <c r="H19" s="14"/>
      <c r="I19" s="14"/>
      <c r="J19" s="14"/>
      <c r="K19" s="14"/>
      <c r="L19" s="14"/>
      <c r="M19" s="14"/>
      <c r="N19" s="14"/>
      <c r="O19" s="15" t="str">
        <f t="shared" si="3"/>
        <v/>
      </c>
      <c r="P19" s="16"/>
      <c r="Q19" s="12" t="str">
        <f>IF(P19="","",IF(P19=0,"NONE",IF(P19&lt;CVSS_Guidelines!$B$29,"LOW",IF(P19&lt;CVSS_Guidelines!$B$28,"MEDIUM",IF(P19&lt;CVSS_Guidelines!$B$27,"HIGH","CRITICAL")))))</f>
        <v/>
      </c>
      <c r="R19" s="12" t="str">
        <f t="shared" si="0"/>
        <v/>
      </c>
      <c r="S19" s="14"/>
      <c r="T19" s="12" t="str">
        <f t="shared" si="1"/>
        <v/>
      </c>
      <c r="U19" s="12" t="str">
        <f t="shared" si="2"/>
        <v/>
      </c>
      <c r="V19" s="13"/>
    </row>
    <row r="20" spans="1:22" ht="21.75" customHeight="1" x14ac:dyDescent="0.3">
      <c r="A20" s="12">
        <v>16</v>
      </c>
      <c r="B20" s="13"/>
      <c r="C20" s="13"/>
      <c r="D20" s="14"/>
      <c r="E20" s="14"/>
      <c r="F20" s="14"/>
      <c r="G20" s="14"/>
      <c r="H20" s="14"/>
      <c r="I20" s="14"/>
      <c r="J20" s="14"/>
      <c r="K20" s="14"/>
      <c r="L20" s="14"/>
      <c r="M20" s="14"/>
      <c r="N20" s="14"/>
      <c r="O20" s="15" t="str">
        <f t="shared" si="3"/>
        <v/>
      </c>
      <c r="P20" s="16"/>
      <c r="Q20" s="12" t="str">
        <f>IF(P20="","",IF(P20=0,"NONE",IF(P20&lt;CVSS_Guidelines!$B$29,"LOW",IF(P20&lt;CVSS_Guidelines!$B$28,"MEDIUM",IF(P20&lt;CVSS_Guidelines!$B$27,"HIGH","CRITICAL")))))</f>
        <v/>
      </c>
      <c r="R20" s="12" t="str">
        <f t="shared" si="0"/>
        <v/>
      </c>
      <c r="S20" s="14"/>
      <c r="T20" s="12" t="str">
        <f t="shared" si="1"/>
        <v/>
      </c>
      <c r="U20" s="12" t="str">
        <f t="shared" si="2"/>
        <v/>
      </c>
      <c r="V20" s="13"/>
    </row>
    <row r="21" spans="1:22" ht="21.75" customHeight="1" x14ac:dyDescent="0.3">
      <c r="A21" s="12">
        <v>17</v>
      </c>
      <c r="B21" s="13"/>
      <c r="C21" s="13"/>
      <c r="D21" s="14"/>
      <c r="E21" s="14"/>
      <c r="F21" s="14"/>
      <c r="G21" s="14"/>
      <c r="H21" s="14"/>
      <c r="I21" s="14"/>
      <c r="J21" s="14"/>
      <c r="K21" s="14"/>
      <c r="L21" s="14"/>
      <c r="M21" s="14"/>
      <c r="N21" s="14"/>
      <c r="O21" s="15" t="str">
        <f t="shared" si="3"/>
        <v/>
      </c>
      <c r="P21" s="16"/>
      <c r="Q21" s="12" t="str">
        <f>IF(P21="","",IF(P21=0,"NONE",IF(P21&lt;CVSS_Guidelines!$B$29,"LOW",IF(P21&lt;CVSS_Guidelines!$B$28,"MEDIUM",IF(P21&lt;CVSS_Guidelines!$B$27,"HIGH","CRITICAL")))))</f>
        <v/>
      </c>
      <c r="R21" s="12" t="str">
        <f t="shared" si="0"/>
        <v/>
      </c>
      <c r="S21" s="14"/>
      <c r="T21" s="12" t="str">
        <f t="shared" si="1"/>
        <v/>
      </c>
      <c r="U21" s="12" t="str">
        <f t="shared" si="2"/>
        <v/>
      </c>
      <c r="V21" s="13"/>
    </row>
    <row r="22" spans="1:22" ht="21.75" customHeight="1" x14ac:dyDescent="0.3">
      <c r="A22" s="12">
        <v>18</v>
      </c>
      <c r="B22" s="13"/>
      <c r="C22" s="13"/>
      <c r="D22" s="14"/>
      <c r="E22" s="14"/>
      <c r="F22" s="14"/>
      <c r="G22" s="14"/>
      <c r="H22" s="14"/>
      <c r="I22" s="14"/>
      <c r="J22" s="14"/>
      <c r="K22" s="14"/>
      <c r="L22" s="14"/>
      <c r="M22" s="14"/>
      <c r="N22" s="14"/>
      <c r="O22" s="15" t="str">
        <f t="shared" si="3"/>
        <v/>
      </c>
      <c r="P22" s="16"/>
      <c r="Q22" s="12" t="str">
        <f>IF(P22="","",IF(P22=0,"NONE",IF(P22&lt;CVSS_Guidelines!$B$29,"LOW",IF(P22&lt;CVSS_Guidelines!$B$28,"MEDIUM",IF(P22&lt;CVSS_Guidelines!$B$27,"HIGH","CRITICAL")))))</f>
        <v/>
      </c>
      <c r="R22" s="12" t="str">
        <f t="shared" si="0"/>
        <v/>
      </c>
      <c r="S22" s="14"/>
      <c r="T22" s="12" t="str">
        <f t="shared" si="1"/>
        <v/>
      </c>
      <c r="U22" s="12" t="str">
        <f t="shared" si="2"/>
        <v/>
      </c>
      <c r="V22" s="13"/>
    </row>
    <row r="23" spans="1:22" ht="21.75" customHeight="1" x14ac:dyDescent="0.3">
      <c r="A23" s="12">
        <v>19</v>
      </c>
      <c r="B23" s="13"/>
      <c r="C23" s="13"/>
      <c r="D23" s="14"/>
      <c r="E23" s="14"/>
      <c r="F23" s="14"/>
      <c r="G23" s="14"/>
      <c r="H23" s="14"/>
      <c r="I23" s="14"/>
      <c r="J23" s="14"/>
      <c r="K23" s="14"/>
      <c r="L23" s="14"/>
      <c r="M23" s="14"/>
      <c r="N23" s="14"/>
      <c r="O23" s="15" t="str">
        <f t="shared" si="3"/>
        <v/>
      </c>
      <c r="P23" s="16"/>
      <c r="Q23" s="12" t="str">
        <f>IF(P23="","",IF(P23=0,"NONE",IF(P23&lt;CVSS_Guidelines!$B$29,"LOW",IF(P23&lt;CVSS_Guidelines!$B$28,"MEDIUM",IF(P23&lt;CVSS_Guidelines!$B$27,"HIGH","CRITICAL")))))</f>
        <v/>
      </c>
      <c r="R23" s="12" t="str">
        <f t="shared" si="0"/>
        <v/>
      </c>
      <c r="S23" s="14"/>
      <c r="T23" s="12" t="str">
        <f t="shared" si="1"/>
        <v/>
      </c>
      <c r="U23" s="12" t="str">
        <f t="shared" si="2"/>
        <v/>
      </c>
      <c r="V23" s="13"/>
    </row>
    <row r="24" spans="1:22" ht="21.75" customHeight="1" x14ac:dyDescent="0.3">
      <c r="A24" s="12">
        <v>20</v>
      </c>
      <c r="B24" s="13"/>
      <c r="C24" s="13"/>
      <c r="D24" s="14"/>
      <c r="E24" s="14"/>
      <c r="F24" s="14"/>
      <c r="G24" s="14"/>
      <c r="H24" s="14"/>
      <c r="I24" s="14"/>
      <c r="J24" s="14"/>
      <c r="K24" s="14"/>
      <c r="L24" s="14"/>
      <c r="M24" s="14"/>
      <c r="N24" s="14"/>
      <c r="O24" s="15" t="str">
        <f t="shared" si="3"/>
        <v/>
      </c>
      <c r="P24" s="16"/>
      <c r="Q24" s="12" t="str">
        <f>IF(P24="","",IF(P24=0,"NONE",IF(P24&lt;CVSS_Guidelines!$B$29,"LOW",IF(P24&lt;CVSS_Guidelines!$B$28,"MEDIUM",IF(P24&lt;CVSS_Guidelines!$B$27,"HIGH","CRITICAL")))))</f>
        <v/>
      </c>
      <c r="R24" s="12" t="str">
        <f t="shared" si="0"/>
        <v/>
      </c>
      <c r="S24" s="14"/>
      <c r="T24" s="12" t="str">
        <f t="shared" si="1"/>
        <v/>
      </c>
      <c r="U24" s="12" t="str">
        <f t="shared" si="2"/>
        <v/>
      </c>
      <c r="V24" s="13"/>
    </row>
    <row r="25" spans="1:22" ht="21.75" customHeight="1" x14ac:dyDescent="0.3">
      <c r="A25" s="12">
        <v>21</v>
      </c>
      <c r="B25" s="13"/>
      <c r="C25" s="13"/>
      <c r="D25" s="14"/>
      <c r="E25" s="14"/>
      <c r="F25" s="14"/>
      <c r="G25" s="14"/>
      <c r="H25" s="14"/>
      <c r="I25" s="14"/>
      <c r="J25" s="14"/>
      <c r="K25" s="14"/>
      <c r="L25" s="14"/>
      <c r="M25" s="14"/>
      <c r="N25" s="14"/>
      <c r="O25" s="15" t="str">
        <f t="shared" si="3"/>
        <v/>
      </c>
      <c r="P25" s="16"/>
      <c r="Q25" s="12" t="str">
        <f>IF(P25="","",IF(P25=0,"NONE",IF(P25&lt;CVSS_Guidelines!$B$29,"LOW",IF(P25&lt;CVSS_Guidelines!$B$28,"MEDIUM",IF(P25&lt;CVSS_Guidelines!$B$27,"HIGH","CRITICAL")))))</f>
        <v/>
      </c>
      <c r="R25" s="12" t="str">
        <f t="shared" si="0"/>
        <v/>
      </c>
      <c r="S25" s="14"/>
      <c r="T25" s="12" t="str">
        <f t="shared" si="1"/>
        <v/>
      </c>
      <c r="U25" s="12" t="str">
        <f t="shared" si="2"/>
        <v/>
      </c>
      <c r="V25" s="13"/>
    </row>
    <row r="26" spans="1:22" ht="21.75" customHeight="1" x14ac:dyDescent="0.3">
      <c r="A26" s="12">
        <v>22</v>
      </c>
      <c r="B26" s="13"/>
      <c r="C26" s="13"/>
      <c r="D26" s="14"/>
      <c r="E26" s="14"/>
      <c r="F26" s="14"/>
      <c r="G26" s="14"/>
      <c r="H26" s="14"/>
      <c r="I26" s="14"/>
      <c r="J26" s="14"/>
      <c r="K26" s="14"/>
      <c r="L26" s="14"/>
      <c r="M26" s="14"/>
      <c r="N26" s="14"/>
      <c r="O26" s="15" t="str">
        <f t="shared" si="3"/>
        <v/>
      </c>
      <c r="P26" s="16"/>
      <c r="Q26" s="12" t="str">
        <f>IF(P26="","",IF(P26=0,"NONE",IF(P26&lt;CVSS_Guidelines!$B$29,"LOW",IF(P26&lt;CVSS_Guidelines!$B$28,"MEDIUM",IF(P26&lt;CVSS_Guidelines!$B$27,"HIGH","CRITICAL")))))</f>
        <v/>
      </c>
      <c r="R26" s="12" t="str">
        <f t="shared" si="0"/>
        <v/>
      </c>
      <c r="S26" s="14"/>
      <c r="T26" s="12" t="str">
        <f t="shared" si="1"/>
        <v/>
      </c>
      <c r="U26" s="12" t="str">
        <f t="shared" si="2"/>
        <v/>
      </c>
      <c r="V26" s="13"/>
    </row>
    <row r="27" spans="1:22" ht="21.75" customHeight="1" x14ac:dyDescent="0.3">
      <c r="A27" s="12">
        <v>23</v>
      </c>
      <c r="B27" s="13"/>
      <c r="C27" s="13"/>
      <c r="D27" s="14"/>
      <c r="E27" s="14"/>
      <c r="F27" s="14"/>
      <c r="G27" s="14"/>
      <c r="H27" s="14"/>
      <c r="I27" s="14"/>
      <c r="J27" s="14"/>
      <c r="K27" s="14"/>
      <c r="L27" s="14"/>
      <c r="M27" s="14"/>
      <c r="N27" s="14"/>
      <c r="O27" s="15" t="str">
        <f t="shared" si="3"/>
        <v/>
      </c>
      <c r="P27" s="16"/>
      <c r="Q27" s="12" t="str">
        <f>IF(P27="","",IF(P27=0,"NONE",IF(P27&lt;CVSS_Guidelines!$B$29,"LOW",IF(P27&lt;CVSS_Guidelines!$B$28,"MEDIUM",IF(P27&lt;CVSS_Guidelines!$B$27,"HIGH","CRITICAL")))))</f>
        <v/>
      </c>
      <c r="R27" s="12" t="str">
        <f t="shared" si="0"/>
        <v/>
      </c>
      <c r="S27" s="14"/>
      <c r="T27" s="12" t="str">
        <f t="shared" si="1"/>
        <v/>
      </c>
      <c r="U27" s="12" t="str">
        <f t="shared" si="2"/>
        <v/>
      </c>
      <c r="V27" s="13"/>
    </row>
    <row r="28" spans="1:22" ht="21.75" customHeight="1" x14ac:dyDescent="0.3">
      <c r="A28" s="12">
        <v>24</v>
      </c>
      <c r="B28" s="13"/>
      <c r="C28" s="13"/>
      <c r="D28" s="14"/>
      <c r="E28" s="14"/>
      <c r="F28" s="14"/>
      <c r="G28" s="14"/>
      <c r="H28" s="14"/>
      <c r="I28" s="14"/>
      <c r="J28" s="14"/>
      <c r="K28" s="14"/>
      <c r="L28" s="14"/>
      <c r="M28" s="14"/>
      <c r="N28" s="14"/>
      <c r="O28" s="15" t="str">
        <f t="shared" si="3"/>
        <v/>
      </c>
      <c r="P28" s="16"/>
      <c r="Q28" s="12" t="str">
        <f>IF(P28="","",IF(P28=0,"NONE",IF(P28&lt;CVSS_Guidelines!$B$29,"LOW",IF(P28&lt;CVSS_Guidelines!$B$28,"MEDIUM",IF(P28&lt;CVSS_Guidelines!$B$27,"HIGH","CRITICAL")))))</f>
        <v/>
      </c>
      <c r="R28" s="12" t="str">
        <f t="shared" si="0"/>
        <v/>
      </c>
      <c r="S28" s="14"/>
      <c r="T28" s="12" t="str">
        <f t="shared" si="1"/>
        <v/>
      </c>
      <c r="U28" s="12" t="str">
        <f t="shared" si="2"/>
        <v/>
      </c>
      <c r="V28" s="13"/>
    </row>
    <row r="29" spans="1:22" ht="21.75" customHeight="1" x14ac:dyDescent="0.3">
      <c r="A29" s="12">
        <v>25</v>
      </c>
      <c r="B29" s="13"/>
      <c r="C29" s="13"/>
      <c r="D29" s="14"/>
      <c r="E29" s="14"/>
      <c r="F29" s="14"/>
      <c r="G29" s="14"/>
      <c r="H29" s="14"/>
      <c r="I29" s="14"/>
      <c r="J29" s="14"/>
      <c r="K29" s="14"/>
      <c r="L29" s="14"/>
      <c r="M29" s="14"/>
      <c r="N29" s="14"/>
      <c r="O29" s="15" t="str">
        <f t="shared" si="3"/>
        <v/>
      </c>
      <c r="P29" s="16"/>
      <c r="Q29" s="12" t="str">
        <f>IF(P29="","",IF(P29=0,"NONE",IF(P29&lt;CVSS_Guidelines!$B$29,"LOW",IF(P29&lt;CVSS_Guidelines!$B$28,"MEDIUM",IF(P29&lt;CVSS_Guidelines!$B$27,"HIGH","CRITICAL")))))</f>
        <v/>
      </c>
      <c r="R29" s="12" t="str">
        <f t="shared" si="0"/>
        <v/>
      </c>
      <c r="S29" s="14"/>
      <c r="T29" s="12" t="str">
        <f t="shared" si="1"/>
        <v/>
      </c>
      <c r="U29" s="12" t="str">
        <f t="shared" si="2"/>
        <v/>
      </c>
      <c r="V29" s="13"/>
    </row>
    <row r="30" spans="1:22" ht="21.75" customHeight="1" x14ac:dyDescent="0.3">
      <c r="A30" s="12">
        <v>26</v>
      </c>
      <c r="B30" s="13"/>
      <c r="C30" s="13"/>
      <c r="D30" s="14"/>
      <c r="E30" s="14"/>
      <c r="F30" s="14"/>
      <c r="G30" s="14"/>
      <c r="H30" s="14"/>
      <c r="I30" s="14"/>
      <c r="J30" s="14"/>
      <c r="K30" s="14"/>
      <c r="L30" s="14"/>
      <c r="M30" s="14"/>
      <c r="N30" s="14"/>
      <c r="O30" s="15" t="str">
        <f t="shared" si="3"/>
        <v/>
      </c>
      <c r="P30" s="16"/>
      <c r="Q30" s="12" t="str">
        <f>IF(P30="","",IF(P30=0,"NONE",IF(P30&lt;CVSS_Guidelines!$B$29,"LOW",IF(P30&lt;CVSS_Guidelines!$B$28,"MEDIUM",IF(P30&lt;CVSS_Guidelines!$B$27,"HIGH","CRITICAL")))))</f>
        <v/>
      </c>
      <c r="R30" s="12" t="str">
        <f t="shared" si="0"/>
        <v/>
      </c>
      <c r="S30" s="14"/>
      <c r="T30" s="12" t="str">
        <f t="shared" si="1"/>
        <v/>
      </c>
      <c r="U30" s="12" t="str">
        <f t="shared" si="2"/>
        <v/>
      </c>
      <c r="V30" s="13"/>
    </row>
    <row r="31" spans="1:22" ht="21.75" customHeight="1" x14ac:dyDescent="0.3">
      <c r="A31" s="12">
        <v>27</v>
      </c>
      <c r="B31" s="13"/>
      <c r="C31" s="13"/>
      <c r="D31" s="14"/>
      <c r="E31" s="14"/>
      <c r="F31" s="14"/>
      <c r="G31" s="14"/>
      <c r="H31" s="14"/>
      <c r="I31" s="14"/>
      <c r="J31" s="14"/>
      <c r="K31" s="14"/>
      <c r="L31" s="14"/>
      <c r="M31" s="14"/>
      <c r="N31" s="14"/>
      <c r="O31" s="15" t="str">
        <f t="shared" si="3"/>
        <v/>
      </c>
      <c r="P31" s="16"/>
      <c r="Q31" s="12" t="str">
        <f>IF(P31="","",IF(P31=0,"NONE",IF(P31&lt;CVSS_Guidelines!$B$29,"LOW",IF(P31&lt;CVSS_Guidelines!$B$28,"MEDIUM",IF(P31&lt;CVSS_Guidelines!$B$27,"HIGH","CRITICAL")))))</f>
        <v/>
      </c>
      <c r="R31" s="12" t="str">
        <f t="shared" si="0"/>
        <v/>
      </c>
      <c r="S31" s="14"/>
      <c r="T31" s="12" t="str">
        <f t="shared" si="1"/>
        <v/>
      </c>
      <c r="U31" s="12" t="str">
        <f t="shared" si="2"/>
        <v/>
      </c>
      <c r="V31" s="13"/>
    </row>
    <row r="32" spans="1:22" ht="21.75" customHeight="1" x14ac:dyDescent="0.3">
      <c r="A32" s="12">
        <v>28</v>
      </c>
      <c r="B32" s="13"/>
      <c r="C32" s="13"/>
      <c r="D32" s="14"/>
      <c r="E32" s="14"/>
      <c r="F32" s="14"/>
      <c r="G32" s="14"/>
      <c r="H32" s="14"/>
      <c r="I32" s="14"/>
      <c r="J32" s="14"/>
      <c r="K32" s="14"/>
      <c r="L32" s="14"/>
      <c r="M32" s="14"/>
      <c r="N32" s="14"/>
      <c r="O32" s="15" t="str">
        <f t="shared" si="3"/>
        <v/>
      </c>
      <c r="P32" s="16"/>
      <c r="Q32" s="12" t="str">
        <f>IF(P32="","",IF(P32=0,"NONE",IF(P32&lt;CVSS_Guidelines!$B$29,"LOW",IF(P32&lt;CVSS_Guidelines!$B$28,"MEDIUM",IF(P32&lt;CVSS_Guidelines!$B$27,"HIGH","CRITICAL")))))</f>
        <v/>
      </c>
      <c r="R32" s="12" t="str">
        <f t="shared" si="0"/>
        <v/>
      </c>
      <c r="S32" s="14"/>
      <c r="T32" s="12" t="str">
        <f t="shared" si="1"/>
        <v/>
      </c>
      <c r="U32" s="12" t="str">
        <f t="shared" si="2"/>
        <v/>
      </c>
      <c r="V32" s="13"/>
    </row>
    <row r="33" spans="1:22" ht="21.75" customHeight="1" x14ac:dyDescent="0.3">
      <c r="A33" s="12">
        <v>29</v>
      </c>
      <c r="B33" s="13"/>
      <c r="C33" s="13"/>
      <c r="D33" s="14"/>
      <c r="E33" s="14"/>
      <c r="F33" s="14"/>
      <c r="G33" s="14"/>
      <c r="H33" s="14"/>
      <c r="I33" s="14"/>
      <c r="J33" s="14"/>
      <c r="K33" s="14"/>
      <c r="L33" s="14"/>
      <c r="M33" s="14"/>
      <c r="N33" s="14"/>
      <c r="O33" s="15" t="str">
        <f t="shared" si="3"/>
        <v/>
      </c>
      <c r="P33" s="16"/>
      <c r="Q33" s="12" t="str">
        <f>IF(P33="","",IF(P33=0,"NONE",IF(P33&lt;CVSS_Guidelines!$B$29,"LOW",IF(P33&lt;CVSS_Guidelines!$B$28,"MEDIUM",IF(P33&lt;CVSS_Guidelines!$B$27,"HIGH","CRITICAL")))))</f>
        <v/>
      </c>
      <c r="R33" s="12" t="str">
        <f t="shared" si="0"/>
        <v/>
      </c>
      <c r="S33" s="14"/>
      <c r="T33" s="12" t="str">
        <f t="shared" si="1"/>
        <v/>
      </c>
      <c r="U33" s="12" t="str">
        <f t="shared" si="2"/>
        <v/>
      </c>
      <c r="V33" s="13"/>
    </row>
    <row r="34" spans="1:22" ht="21.75" customHeight="1" x14ac:dyDescent="0.3">
      <c r="A34" s="12">
        <v>30</v>
      </c>
      <c r="B34" s="13"/>
      <c r="C34" s="13"/>
      <c r="D34" s="14"/>
      <c r="E34" s="14"/>
      <c r="F34" s="14"/>
      <c r="G34" s="14"/>
      <c r="H34" s="14"/>
      <c r="I34" s="14"/>
      <c r="J34" s="14"/>
      <c r="K34" s="14"/>
      <c r="L34" s="14"/>
      <c r="M34" s="14"/>
      <c r="N34" s="14"/>
      <c r="O34" s="15" t="str">
        <f t="shared" si="3"/>
        <v/>
      </c>
      <c r="P34" s="16"/>
      <c r="Q34" s="12" t="str">
        <f>IF(P34="","",IF(P34=0,"NONE",IF(P34&lt;CVSS_Guidelines!$B$29,"LOW",IF(P34&lt;CVSS_Guidelines!$B$28,"MEDIUM",IF(P34&lt;CVSS_Guidelines!$B$27,"HIGH","CRITICAL")))))</f>
        <v/>
      </c>
      <c r="R34" s="12" t="str">
        <f t="shared" si="0"/>
        <v/>
      </c>
      <c r="S34" s="14"/>
      <c r="T34" s="12" t="str">
        <f t="shared" si="1"/>
        <v/>
      </c>
      <c r="U34" s="12" t="str">
        <f t="shared" si="2"/>
        <v/>
      </c>
      <c r="V34" s="13"/>
    </row>
    <row r="35" spans="1:22" ht="21.75" customHeight="1" x14ac:dyDescent="0.3">
      <c r="A35" s="12">
        <v>31</v>
      </c>
      <c r="B35" s="13"/>
      <c r="C35" s="13"/>
      <c r="D35" s="14"/>
      <c r="E35" s="14"/>
      <c r="F35" s="14"/>
      <c r="G35" s="14"/>
      <c r="H35" s="14"/>
      <c r="I35" s="14"/>
      <c r="J35" s="14"/>
      <c r="K35" s="14"/>
      <c r="L35" s="14"/>
      <c r="M35" s="14"/>
      <c r="N35" s="14"/>
      <c r="O35" s="15" t="str">
        <f t="shared" si="3"/>
        <v/>
      </c>
      <c r="P35" s="16"/>
      <c r="Q35" s="12" t="str">
        <f>IF(P35="","",IF(P35=0,"NONE",IF(P35&lt;CVSS_Guidelines!$B$29,"LOW",IF(P35&lt;CVSS_Guidelines!$B$28,"MEDIUM",IF(P35&lt;CVSS_Guidelines!$B$27,"HIGH","CRITICAL")))))</f>
        <v/>
      </c>
      <c r="R35" s="12" t="str">
        <f t="shared" si="0"/>
        <v/>
      </c>
      <c r="S35" s="14"/>
      <c r="T35" s="12" t="str">
        <f t="shared" si="1"/>
        <v/>
      </c>
      <c r="U35" s="12" t="str">
        <f t="shared" si="2"/>
        <v/>
      </c>
      <c r="V35" s="13"/>
    </row>
    <row r="36" spans="1:22" ht="21.75" customHeight="1" x14ac:dyDescent="0.3">
      <c r="A36" s="12">
        <v>32</v>
      </c>
      <c r="B36" s="13"/>
      <c r="C36" s="13"/>
      <c r="D36" s="14"/>
      <c r="E36" s="14"/>
      <c r="F36" s="14"/>
      <c r="G36" s="14"/>
      <c r="H36" s="14"/>
      <c r="I36" s="14"/>
      <c r="J36" s="14"/>
      <c r="K36" s="14"/>
      <c r="L36" s="14"/>
      <c r="M36" s="14"/>
      <c r="N36" s="14"/>
      <c r="O36" s="15" t="str">
        <f t="shared" si="3"/>
        <v/>
      </c>
      <c r="P36" s="16"/>
      <c r="Q36" s="12" t="str">
        <f>IF(P36="","",IF(P36=0,"NONE",IF(P36&lt;CVSS_Guidelines!$B$29,"LOW",IF(P36&lt;CVSS_Guidelines!$B$28,"MEDIUM",IF(P36&lt;CVSS_Guidelines!$B$27,"HIGH","CRITICAL")))))</f>
        <v/>
      </c>
      <c r="R36" s="12" t="str">
        <f t="shared" si="0"/>
        <v/>
      </c>
      <c r="S36" s="14"/>
      <c r="T36" s="12" t="str">
        <f t="shared" si="1"/>
        <v/>
      </c>
      <c r="U36" s="12" t="str">
        <f t="shared" si="2"/>
        <v/>
      </c>
      <c r="V36" s="13"/>
    </row>
    <row r="37" spans="1:22" ht="21.75" customHeight="1" x14ac:dyDescent="0.3">
      <c r="A37" s="12">
        <v>33</v>
      </c>
      <c r="B37" s="13"/>
      <c r="C37" s="13"/>
      <c r="D37" s="14"/>
      <c r="E37" s="14"/>
      <c r="F37" s="14"/>
      <c r="G37" s="14"/>
      <c r="H37" s="14"/>
      <c r="I37" s="14"/>
      <c r="J37" s="14"/>
      <c r="K37" s="14"/>
      <c r="L37" s="14"/>
      <c r="M37" s="14"/>
      <c r="N37" s="14"/>
      <c r="O37" s="15" t="str">
        <f t="shared" si="3"/>
        <v/>
      </c>
      <c r="P37" s="16"/>
      <c r="Q37" s="12" t="str">
        <f>IF(P37="","",IF(P37=0,"NONE",IF(P37&lt;CVSS_Guidelines!$B$29,"LOW",IF(P37&lt;CVSS_Guidelines!$B$28,"MEDIUM",IF(P37&lt;CVSS_Guidelines!$B$27,"HIGH","CRITICAL")))))</f>
        <v/>
      </c>
      <c r="R37" s="12" t="str">
        <f t="shared" si="0"/>
        <v/>
      </c>
      <c r="S37" s="14"/>
      <c r="T37" s="12" t="str">
        <f t="shared" si="1"/>
        <v/>
      </c>
      <c r="U37" s="12" t="str">
        <f t="shared" si="2"/>
        <v/>
      </c>
      <c r="V37" s="13"/>
    </row>
    <row r="38" spans="1:22" ht="21.75" customHeight="1" x14ac:dyDescent="0.3">
      <c r="A38" s="12">
        <v>34</v>
      </c>
      <c r="B38" s="13"/>
      <c r="C38" s="13"/>
      <c r="D38" s="14"/>
      <c r="E38" s="14"/>
      <c r="F38" s="14"/>
      <c r="G38" s="14"/>
      <c r="H38" s="14"/>
      <c r="I38" s="14"/>
      <c r="J38" s="14"/>
      <c r="K38" s="14"/>
      <c r="L38" s="14"/>
      <c r="M38" s="14"/>
      <c r="N38" s="14"/>
      <c r="O38" s="15" t="str">
        <f t="shared" si="3"/>
        <v/>
      </c>
      <c r="P38" s="16"/>
      <c r="Q38" s="12" t="str">
        <f>IF(P38="","",IF(P38=0,"NONE",IF(P38&lt;CVSS_Guidelines!$B$29,"LOW",IF(P38&lt;CVSS_Guidelines!$B$28,"MEDIUM",IF(P38&lt;CVSS_Guidelines!$B$27,"HIGH","CRITICAL")))))</f>
        <v/>
      </c>
      <c r="R38" s="12" t="str">
        <f t="shared" si="0"/>
        <v/>
      </c>
      <c r="S38" s="14"/>
      <c r="T38" s="12" t="str">
        <f t="shared" si="1"/>
        <v/>
      </c>
      <c r="U38" s="12" t="str">
        <f t="shared" si="2"/>
        <v/>
      </c>
      <c r="V38" s="13"/>
    </row>
    <row r="39" spans="1:22" ht="21.75" customHeight="1" x14ac:dyDescent="0.3">
      <c r="A39" s="12">
        <v>35</v>
      </c>
      <c r="B39" s="13"/>
      <c r="C39" s="13"/>
      <c r="D39" s="14"/>
      <c r="E39" s="14"/>
      <c r="F39" s="14"/>
      <c r="G39" s="14"/>
      <c r="H39" s="14"/>
      <c r="I39" s="14"/>
      <c r="J39" s="14"/>
      <c r="K39" s="14"/>
      <c r="L39" s="14"/>
      <c r="M39" s="14"/>
      <c r="N39" s="14"/>
      <c r="O39" s="15" t="str">
        <f t="shared" si="3"/>
        <v/>
      </c>
      <c r="P39" s="16"/>
      <c r="Q39" s="12" t="str">
        <f>IF(P39="","",IF(P39=0,"NONE",IF(P39&lt;CVSS_Guidelines!$B$29,"LOW",IF(P39&lt;CVSS_Guidelines!$B$28,"MEDIUM",IF(P39&lt;CVSS_Guidelines!$B$27,"HIGH","CRITICAL")))))</f>
        <v/>
      </c>
      <c r="R39" s="12" t="str">
        <f t="shared" si="0"/>
        <v/>
      </c>
      <c r="S39" s="14"/>
      <c r="T39" s="12" t="str">
        <f t="shared" si="1"/>
        <v/>
      </c>
      <c r="U39" s="12" t="str">
        <f t="shared" si="2"/>
        <v/>
      </c>
      <c r="V39" s="13"/>
    </row>
    <row r="40" spans="1:22" ht="21.75" customHeight="1" x14ac:dyDescent="0.3">
      <c r="A40" s="12">
        <v>36</v>
      </c>
      <c r="B40" s="13"/>
      <c r="C40" s="13"/>
      <c r="D40" s="14"/>
      <c r="E40" s="14"/>
      <c r="F40" s="14"/>
      <c r="G40" s="14"/>
      <c r="H40" s="14"/>
      <c r="I40" s="14"/>
      <c r="J40" s="14"/>
      <c r="K40" s="14"/>
      <c r="L40" s="14"/>
      <c r="M40" s="14"/>
      <c r="N40" s="14"/>
      <c r="O40" s="15" t="str">
        <f t="shared" si="3"/>
        <v/>
      </c>
      <c r="P40" s="16"/>
      <c r="Q40" s="12" t="str">
        <f>IF(P40="","",IF(P40=0,"NONE",IF(P40&lt;CVSS_Guidelines!$B$29,"LOW",IF(P40&lt;CVSS_Guidelines!$B$28,"MEDIUM",IF(P40&lt;CVSS_Guidelines!$B$27,"HIGH","CRITICAL")))))</f>
        <v/>
      </c>
      <c r="R40" s="12" t="str">
        <f t="shared" si="0"/>
        <v/>
      </c>
      <c r="S40" s="14"/>
      <c r="T40" s="12" t="str">
        <f t="shared" si="1"/>
        <v/>
      </c>
      <c r="U40" s="12" t="str">
        <f t="shared" si="2"/>
        <v/>
      </c>
      <c r="V40" s="13"/>
    </row>
    <row r="41" spans="1:22" ht="21.75" customHeight="1" x14ac:dyDescent="0.3">
      <c r="A41" s="12">
        <v>37</v>
      </c>
      <c r="B41" s="13"/>
      <c r="C41" s="13"/>
      <c r="D41" s="14"/>
      <c r="E41" s="14"/>
      <c r="F41" s="14"/>
      <c r="G41" s="14"/>
      <c r="H41" s="14"/>
      <c r="I41" s="14"/>
      <c r="J41" s="14"/>
      <c r="K41" s="14"/>
      <c r="L41" s="14"/>
      <c r="M41" s="14"/>
      <c r="N41" s="14"/>
      <c r="O41" s="15" t="str">
        <f t="shared" si="3"/>
        <v/>
      </c>
      <c r="P41" s="16"/>
      <c r="Q41" s="12" t="str">
        <f>IF(P41="","",IF(P41=0,"NONE",IF(P41&lt;CVSS_Guidelines!$B$29,"LOW",IF(P41&lt;CVSS_Guidelines!$B$28,"MEDIUM",IF(P41&lt;CVSS_Guidelines!$B$27,"HIGH","CRITICAL")))))</f>
        <v/>
      </c>
      <c r="R41" s="12" t="str">
        <f t="shared" si="0"/>
        <v/>
      </c>
      <c r="S41" s="14"/>
      <c r="T41" s="12" t="str">
        <f t="shared" si="1"/>
        <v/>
      </c>
      <c r="U41" s="12" t="str">
        <f t="shared" si="2"/>
        <v/>
      </c>
      <c r="V41" s="13"/>
    </row>
    <row r="42" spans="1:22" ht="21.75" customHeight="1" x14ac:dyDescent="0.3">
      <c r="A42" s="12">
        <v>38</v>
      </c>
      <c r="B42" s="13"/>
      <c r="C42" s="13"/>
      <c r="D42" s="14"/>
      <c r="E42" s="14"/>
      <c r="F42" s="14"/>
      <c r="G42" s="14"/>
      <c r="H42" s="14"/>
      <c r="I42" s="14"/>
      <c r="J42" s="14"/>
      <c r="K42" s="14"/>
      <c r="L42" s="14"/>
      <c r="M42" s="14"/>
      <c r="N42" s="14"/>
      <c r="O42" s="15" t="str">
        <f t="shared" si="3"/>
        <v/>
      </c>
      <c r="P42" s="16"/>
      <c r="Q42" s="12" t="str">
        <f>IF(P42="","",IF(P42=0,"NONE",IF(P42&lt;CVSS_Guidelines!$B$29,"LOW",IF(P42&lt;CVSS_Guidelines!$B$28,"MEDIUM",IF(P42&lt;CVSS_Guidelines!$B$27,"HIGH","CRITICAL")))))</f>
        <v/>
      </c>
      <c r="R42" s="12" t="str">
        <f t="shared" si="0"/>
        <v/>
      </c>
      <c r="S42" s="14"/>
      <c r="T42" s="12" t="str">
        <f t="shared" si="1"/>
        <v/>
      </c>
      <c r="U42" s="12" t="str">
        <f t="shared" si="2"/>
        <v/>
      </c>
      <c r="V42" s="13"/>
    </row>
    <row r="43" spans="1:22" ht="21.75" customHeight="1" x14ac:dyDescent="0.3">
      <c r="A43" s="12">
        <v>39</v>
      </c>
      <c r="B43" s="13"/>
      <c r="C43" s="13"/>
      <c r="D43" s="14"/>
      <c r="E43" s="14"/>
      <c r="F43" s="14"/>
      <c r="G43" s="14"/>
      <c r="H43" s="14"/>
      <c r="I43" s="14"/>
      <c r="J43" s="14"/>
      <c r="K43" s="14"/>
      <c r="L43" s="14"/>
      <c r="M43" s="14"/>
      <c r="N43" s="14"/>
      <c r="O43" s="15" t="str">
        <f t="shared" si="3"/>
        <v/>
      </c>
      <c r="P43" s="16"/>
      <c r="Q43" s="12" t="str">
        <f>IF(P43="","",IF(P43=0,"NONE",IF(P43&lt;CVSS_Guidelines!$B$29,"LOW",IF(P43&lt;CVSS_Guidelines!$B$28,"MEDIUM",IF(P43&lt;CVSS_Guidelines!$B$27,"HIGH","CRITICAL")))))</f>
        <v/>
      </c>
      <c r="R43" s="12" t="str">
        <f t="shared" si="0"/>
        <v/>
      </c>
      <c r="S43" s="14"/>
      <c r="T43" s="12" t="str">
        <f t="shared" si="1"/>
        <v/>
      </c>
      <c r="U43" s="12" t="str">
        <f t="shared" si="2"/>
        <v/>
      </c>
      <c r="V43" s="13"/>
    </row>
    <row r="44" spans="1:22" ht="21.75" customHeight="1" x14ac:dyDescent="0.3">
      <c r="A44" s="12">
        <v>40</v>
      </c>
      <c r="B44" s="13"/>
      <c r="C44" s="13"/>
      <c r="D44" s="14"/>
      <c r="E44" s="14"/>
      <c r="F44" s="14"/>
      <c r="G44" s="14"/>
      <c r="H44" s="14"/>
      <c r="I44" s="14"/>
      <c r="J44" s="14"/>
      <c r="K44" s="14"/>
      <c r="L44" s="14"/>
      <c r="M44" s="14"/>
      <c r="N44" s="14"/>
      <c r="O44" s="15" t="str">
        <f t="shared" si="3"/>
        <v/>
      </c>
      <c r="P44" s="16"/>
      <c r="Q44" s="12" t="str">
        <f>IF(P44="","",IF(P44=0,"NONE",IF(P44&lt;CVSS_Guidelines!$B$29,"LOW",IF(P44&lt;CVSS_Guidelines!$B$28,"MEDIUM",IF(P44&lt;CVSS_Guidelines!$B$27,"HIGH","CRITICAL")))))</f>
        <v/>
      </c>
      <c r="R44" s="12" t="str">
        <f t="shared" si="0"/>
        <v/>
      </c>
      <c r="S44" s="14"/>
      <c r="T44" s="12" t="str">
        <f t="shared" si="1"/>
        <v/>
      </c>
      <c r="U44" s="12" t="str">
        <f t="shared" si="2"/>
        <v/>
      </c>
      <c r="V44" s="13"/>
    </row>
  </sheetData>
  <mergeCells count="7">
    <mergeCell ref="A2:V2"/>
    <mergeCell ref="A1:V1"/>
    <mergeCell ref="O3:R3"/>
    <mergeCell ref="A3:C3"/>
    <mergeCell ref="I3:N3"/>
    <mergeCell ref="S3:U3"/>
    <mergeCell ref="D3:H3"/>
  </mergeCells>
  <phoneticPr fontId="25" type="noConversion"/>
  <conditionalFormatting sqref="D5:D44">
    <cfRule type="cellIs" dxfId="9" priority="2" operator="equal">
      <formula>"N"</formula>
    </cfRule>
  </conditionalFormatting>
  <conditionalFormatting sqref="F5:H44">
    <cfRule type="cellIs" dxfId="8" priority="3" operator="equal">
      <formula>"N"</formula>
    </cfRule>
  </conditionalFormatting>
  <conditionalFormatting sqref="I5:N44">
    <cfRule type="cellIs" dxfId="7" priority="6" operator="equal">
      <formula>"H"</formula>
    </cfRule>
  </conditionalFormatting>
  <conditionalFormatting sqref="Q5:Q44">
    <cfRule type="cellIs" dxfId="6" priority="12" operator="equal">
      <formula>"CRITICAL"</formula>
    </cfRule>
    <cfRule type="cellIs" dxfId="5" priority="13" operator="equal">
      <formula>"HIGH"</formula>
    </cfRule>
    <cfRule type="cellIs" dxfId="4" priority="14" operator="equal">
      <formula>"MEDIUM"</formula>
    </cfRule>
    <cfRule type="cellIs" dxfId="3" priority="15" operator="equal">
      <formula>"LOW"</formula>
    </cfRule>
    <cfRule type="cellIs" dxfId="2" priority="16" operator="equal">
      <formula>"NONE"</formula>
    </cfRule>
  </conditionalFormatting>
  <conditionalFormatting sqref="U5:U44">
    <cfRule type="cellIs" dxfId="1" priority="17" operator="equal">
      <formula>"Sama"</formula>
    </cfRule>
    <cfRule type="cellIs" dxfId="0" priority="18" operator="equal">
      <formula>"Berbeda"</formula>
    </cfRule>
  </conditionalFormatting>
  <dataValidations count="14">
    <dataValidation type="list" allowBlank="1" errorTitle="Nilai tidak valid" error="Pilih salah satu dari: N,A,L,P" promptTitle="Attack Vector" prompt="N=Network, A=Adjacent, L=Local, P=Physical" sqref="D5:D44" xr:uid="{00000000-0002-0000-0200-000000000000}">
      <formula1>"N,A,L,P"</formula1>
      <formula2>0</formula2>
    </dataValidation>
    <dataValidation type="list" allowBlank="1" errorTitle="Nilai tidak valid" error="Pilih salah satu dari: L,H" promptTitle="Attack Complexity" prompt="L=Low, H=High" sqref="E5:E44" xr:uid="{00000000-0002-0000-0200-000001000000}">
      <formula1>"L,H"</formula1>
      <formula2>0</formula2>
    </dataValidation>
    <dataValidation type="list" allowBlank="1" errorTitle="Nilai tidak valid" error="Pilih salah satu dari: N,P" promptTitle="Attack Requirements" prompt="N=None, P=Present" sqref="F5:F44" xr:uid="{00000000-0002-0000-0200-000002000000}">
      <formula1>"N,P"</formula1>
      <formula2>0</formula2>
    </dataValidation>
    <dataValidation type="list" allowBlank="1" errorTitle="Nilai tidak valid" error="Pilih salah satu dari: N,L,H" promptTitle="Privileges Required" prompt="N=None, L=Low, H=High" sqref="G5:G44" xr:uid="{00000000-0002-0000-0200-000003000000}">
      <formula1>"N,L,H"</formula1>
      <formula2>0</formula2>
    </dataValidation>
    <dataValidation type="list" allowBlank="1" errorTitle="Nilai tidak valid" error="Pilih salah satu dari: N,P,A" promptTitle="User Interaction" prompt="N=None, P=Passive, A=Active" sqref="H5:H44" xr:uid="{00000000-0002-0000-0200-000004000000}">
      <formula1>"N,P,A"</formula1>
      <formula2>0</formula2>
    </dataValidation>
    <dataValidation type="list" allowBlank="1" errorTitle="Nilai tidak valid" error="Pilih salah satu dari: H,L,N" promptTitle="Dampak" prompt="H=High, L=Low, N=None" sqref="I5:N44" xr:uid="{00000000-0002-0000-0200-000005000000}">
      <formula1>"H,L,N"</formula1>
      <formula2>0</formula2>
    </dataValidation>
    <dataValidation type="decimal" allowBlank="1" errorTitle="Skor di luar rentang" error="Skor Base CVSS harus antara 0.0 dan 10.0." sqref="P5:P44" xr:uid="{00000000-0002-0000-0200-00000B000000}">
      <formula1>0</formula1>
      <formula2>10</formula2>
    </dataValidation>
    <dataValidation type="whole" allowBlank="1" errorTitle="Skor di luar rentang" error="Skor DREAD harus bilangan bulat antara 0 dan 50." sqref="S5:S44" xr:uid="{00000000-0002-0000-0200-00000C000000}">
      <formula1>0</formula1>
      <formula2>50</formula2>
    </dataValidation>
    <dataValidation type="list" allowBlank="1" showErrorMessage="1" errorTitle="Nilai tidak valid" error="Pilih salah satu dari &quot;N,A,L,P&quot;" sqref="D5:D44" xr:uid="{00000000-0002-0000-0200-00000D000000}">
      <formula1>"N,A,L,P"</formula1>
    </dataValidation>
    <dataValidation type="list" allowBlank="1" showErrorMessage="1" errorTitle="Nilai tidak valid" error="Pilih salah satu dari &quot;L,H&quot;" sqref="E5:E44" xr:uid="{00000000-0002-0000-0200-00000E000000}">
      <formula1>"L,H"</formula1>
    </dataValidation>
    <dataValidation type="list" allowBlank="1" showErrorMessage="1" errorTitle="Nilai tidak valid" error="Pilih salah satu dari &quot;N,P&quot;" sqref="F5:F44" xr:uid="{00000000-0002-0000-0200-00000F000000}">
      <formula1>"N,P"</formula1>
    </dataValidation>
    <dataValidation type="list" allowBlank="1" showErrorMessage="1" errorTitle="Nilai tidak valid" error="Pilih salah satu dari &quot;N,L,H&quot;" sqref="G5:G44" xr:uid="{00000000-0002-0000-0200-000010000000}">
      <formula1>"N,L,H"</formula1>
    </dataValidation>
    <dataValidation type="list" allowBlank="1" showErrorMessage="1" errorTitle="Nilai tidak valid" error="Pilih salah satu dari &quot;N,P,A&quot;" sqref="H5:H44" xr:uid="{00000000-0002-0000-0200-000011000000}">
      <formula1>"N,P,A"</formula1>
    </dataValidation>
    <dataValidation type="list" allowBlank="1" showErrorMessage="1" errorTitle="Nilai tidak valid" error="Pilih salah satu dari &quot;H,L,N&quot;" sqref="I5:N44" xr:uid="{00000000-0002-0000-0200-000012000000}">
      <formula1>"H,L,N"</formula1>
    </dataValidation>
  </dataValidation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C19"/>
  <sheetViews>
    <sheetView showGridLines="0" zoomScaleNormal="100" workbookViewId="0"/>
  </sheetViews>
  <sheetFormatPr defaultColWidth="8.6640625" defaultRowHeight="14.4" x14ac:dyDescent="0.3"/>
  <cols>
    <col min="1" max="1" width="3" customWidth="1"/>
    <col min="2" max="2" width="28" customWidth="1"/>
    <col min="3" max="3" width="30" customWidth="1"/>
  </cols>
  <sheetData>
    <row r="2" spans="2:3" ht="19.8" customHeight="1" x14ac:dyDescent="0.4">
      <c r="B2" s="42" t="s">
        <v>84</v>
      </c>
      <c r="C2" s="30"/>
    </row>
    <row r="4" spans="2:3" ht="15" customHeight="1" x14ac:dyDescent="0.3">
      <c r="B4" s="17" t="s">
        <v>85</v>
      </c>
      <c r="C4" s="17" t="s">
        <v>86</v>
      </c>
    </row>
    <row r="5" spans="2:3" ht="15" customHeight="1" x14ac:dyDescent="0.3">
      <c r="B5" s="18" t="s">
        <v>87</v>
      </c>
      <c r="C5" s="18">
        <f>COUNTIF(CVSS_Template!$Q$5:$Q$44,B5)</f>
        <v>1</v>
      </c>
    </row>
    <row r="6" spans="2:3" ht="15" customHeight="1" x14ac:dyDescent="0.3">
      <c r="B6" s="18" t="s">
        <v>88</v>
      </c>
      <c r="C6" s="18">
        <f>COUNTIF(CVSS_Template!$Q$5:$Q$44,B6)</f>
        <v>4</v>
      </c>
    </row>
    <row r="7" spans="2:3" ht="15" customHeight="1" x14ac:dyDescent="0.3">
      <c r="B7" s="18" t="s">
        <v>89</v>
      </c>
      <c r="C7" s="18">
        <f>COUNTIF(CVSS_Template!$Q$5:$Q$44,B7)</f>
        <v>4</v>
      </c>
    </row>
    <row r="8" spans="2:3" ht="15" customHeight="1" x14ac:dyDescent="0.3">
      <c r="B8" s="18" t="s">
        <v>90</v>
      </c>
      <c r="C8" s="18">
        <f>COUNTIF(CVSS_Template!$Q$5:$Q$44,B8)</f>
        <v>0</v>
      </c>
    </row>
    <row r="9" spans="2:3" ht="15" customHeight="1" x14ac:dyDescent="0.3">
      <c r="B9" s="18" t="s">
        <v>91</v>
      </c>
      <c r="C9" s="18">
        <f>COUNTIF(CVSS_Template!$Q$5:$Q$44,B9)</f>
        <v>0</v>
      </c>
    </row>
    <row r="10" spans="2:3" ht="15" customHeight="1" x14ac:dyDescent="0.3">
      <c r="B10" s="19" t="s">
        <v>92</v>
      </c>
      <c r="C10" s="18">
        <f>SUM(C5:C9)</f>
        <v>9</v>
      </c>
    </row>
    <row r="11" spans="2:3" ht="15" customHeight="1" x14ac:dyDescent="0.3">
      <c r="B11" s="18"/>
      <c r="C11" s="18"/>
    </row>
    <row r="12" spans="2:3" ht="15" customHeight="1" x14ac:dyDescent="0.3">
      <c r="B12" s="20" t="s">
        <v>93</v>
      </c>
      <c r="C12" s="20" t="s">
        <v>94</v>
      </c>
    </row>
    <row r="13" spans="2:3" ht="15" customHeight="1" x14ac:dyDescent="0.3">
      <c r="B13" s="18" t="s">
        <v>95</v>
      </c>
      <c r="C13" s="18">
        <f>COUNTIF(CVSS_Template!$U$5:$U$44,"Sama")</f>
        <v>2</v>
      </c>
    </row>
    <row r="14" spans="2:3" ht="15" customHeight="1" x14ac:dyDescent="0.3">
      <c r="B14" s="18" t="s">
        <v>96</v>
      </c>
      <c r="C14" s="18">
        <f>COUNTIF(CVSS_Template!$U$5:$U$44,"Berbeda")</f>
        <v>7</v>
      </c>
    </row>
    <row r="15" spans="2:3" ht="15" customHeight="1" x14ac:dyDescent="0.3">
      <c r="B15" s="18"/>
      <c r="C15" s="18"/>
    </row>
    <row r="16" spans="2:3" ht="15" customHeight="1" x14ac:dyDescent="0.3">
      <c r="B16" s="21" t="s">
        <v>97</v>
      </c>
      <c r="C16" s="21" t="s">
        <v>98</v>
      </c>
    </row>
    <row r="17" spans="2:3" ht="15" customHeight="1" x14ac:dyDescent="0.3">
      <c r="B17" s="18" t="s">
        <v>99</v>
      </c>
      <c r="C17" s="22">
        <f>IFERROR(AVERAGE(CVSS_Template!P$5:P$44),0)</f>
        <v>6.833333333333333</v>
      </c>
    </row>
    <row r="18" spans="2:3" ht="15" customHeight="1" x14ac:dyDescent="0.3">
      <c r="B18" s="18" t="s">
        <v>100</v>
      </c>
      <c r="C18" s="22">
        <f>IF(COUNT(CVSS_Template!P$5:P$44)=0,0,MAX(CVSS_Template!P$5:P$44))</f>
        <v>9.3000000000000007</v>
      </c>
    </row>
    <row r="19" spans="2:3" ht="15" customHeight="1" x14ac:dyDescent="0.3">
      <c r="B19" s="18" t="s">
        <v>101</v>
      </c>
      <c r="C19" s="18" t="str">
        <f>IFERROR(INDEX(CVSS_Template!B$5:B$44,MATCH(1,CVSS_Template!R$5:R$44,0)),"-")</f>
        <v>T-06</v>
      </c>
    </row>
  </sheetData>
  <mergeCells count="1">
    <mergeCell ref="B2:C2"/>
  </mergeCells>
  <pageMargins left="0.3" right="0.3" top="0.4" bottom="0.4"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33"/>
  <sheetViews>
    <sheetView showGridLines="0" zoomScaleNormal="100" workbookViewId="0">
      <selection sqref="A1:D1"/>
    </sheetView>
  </sheetViews>
  <sheetFormatPr defaultColWidth="8.6640625" defaultRowHeight="14.4" x14ac:dyDescent="0.3"/>
  <cols>
    <col min="1" max="1" width="26" customWidth="1"/>
    <col min="2" max="2" width="14" customWidth="1"/>
    <col min="3" max="4" width="42" customWidth="1"/>
  </cols>
  <sheetData>
    <row r="1" spans="1:4" ht="25.5" customHeight="1" x14ac:dyDescent="0.3">
      <c r="A1" s="44" t="s">
        <v>102</v>
      </c>
      <c r="B1" s="30"/>
      <c r="C1" s="30"/>
      <c r="D1" s="30"/>
    </row>
    <row r="3" spans="1:4" ht="15" customHeight="1" x14ac:dyDescent="0.3">
      <c r="A3" s="23" t="s">
        <v>103</v>
      </c>
      <c r="B3" s="23" t="s">
        <v>98</v>
      </c>
      <c r="C3" s="23" t="s">
        <v>104</v>
      </c>
      <c r="D3" s="23" t="s">
        <v>105</v>
      </c>
    </row>
    <row r="4" spans="1:4" ht="15" customHeight="1" x14ac:dyDescent="0.3">
      <c r="A4" s="24" t="s">
        <v>106</v>
      </c>
      <c r="B4" s="25" t="s">
        <v>107</v>
      </c>
      <c r="C4" s="26" t="s">
        <v>108</v>
      </c>
      <c r="D4" s="26" t="s">
        <v>109</v>
      </c>
    </row>
    <row r="5" spans="1:4" ht="23.85" customHeight="1" x14ac:dyDescent="0.3">
      <c r="A5" s="27"/>
      <c r="B5" s="25" t="s">
        <v>110</v>
      </c>
      <c r="C5" s="26" t="s">
        <v>111</v>
      </c>
      <c r="D5" s="26" t="s">
        <v>112</v>
      </c>
    </row>
    <row r="6" spans="1:4" ht="23.85" customHeight="1" x14ac:dyDescent="0.3">
      <c r="A6" s="27"/>
      <c r="B6" s="25" t="s">
        <v>113</v>
      </c>
      <c r="C6" s="26" t="s">
        <v>114</v>
      </c>
      <c r="D6" s="26" t="s">
        <v>115</v>
      </c>
    </row>
    <row r="7" spans="1:4" ht="15" customHeight="1" x14ac:dyDescent="0.3">
      <c r="A7" s="27"/>
      <c r="B7" s="25" t="s">
        <v>116</v>
      </c>
      <c r="C7" s="26" t="s">
        <v>117</v>
      </c>
      <c r="D7" s="26" t="s">
        <v>118</v>
      </c>
    </row>
    <row r="8" spans="1:4" ht="23.85" customHeight="1" x14ac:dyDescent="0.3">
      <c r="A8" s="24" t="s">
        <v>119</v>
      </c>
      <c r="B8" s="25" t="s">
        <v>113</v>
      </c>
      <c r="C8" s="26" t="s">
        <v>120</v>
      </c>
      <c r="D8" s="26" t="s">
        <v>121</v>
      </c>
    </row>
    <row r="9" spans="1:4" ht="34.950000000000003" customHeight="1" x14ac:dyDescent="0.3">
      <c r="A9" s="27"/>
      <c r="B9" s="25" t="s">
        <v>122</v>
      </c>
      <c r="C9" s="26" t="s">
        <v>123</v>
      </c>
      <c r="D9" s="26" t="s">
        <v>124</v>
      </c>
    </row>
    <row r="10" spans="1:4" ht="23.85" customHeight="1" x14ac:dyDescent="0.3">
      <c r="A10" s="24" t="s">
        <v>125</v>
      </c>
      <c r="B10" s="25" t="s">
        <v>107</v>
      </c>
      <c r="C10" s="26" t="s">
        <v>126</v>
      </c>
      <c r="D10" s="26" t="s">
        <v>127</v>
      </c>
    </row>
    <row r="11" spans="1:4" ht="34.950000000000003" customHeight="1" x14ac:dyDescent="0.3">
      <c r="A11" s="27"/>
      <c r="B11" s="25" t="s">
        <v>116</v>
      </c>
      <c r="C11" s="26" t="s">
        <v>128</v>
      </c>
      <c r="D11" s="26" t="s">
        <v>129</v>
      </c>
    </row>
    <row r="12" spans="1:4" ht="15" customHeight="1" x14ac:dyDescent="0.3">
      <c r="A12" s="24" t="s">
        <v>130</v>
      </c>
      <c r="B12" s="25" t="s">
        <v>107</v>
      </c>
      <c r="C12" s="26" t="s">
        <v>126</v>
      </c>
      <c r="D12" s="26" t="s">
        <v>131</v>
      </c>
    </row>
    <row r="13" spans="1:4" ht="15" customHeight="1" x14ac:dyDescent="0.3">
      <c r="A13" s="27"/>
      <c r="B13" s="25" t="s">
        <v>113</v>
      </c>
      <c r="C13" s="26" t="s">
        <v>120</v>
      </c>
      <c r="D13" s="26" t="s">
        <v>132</v>
      </c>
    </row>
    <row r="14" spans="1:4" ht="15" customHeight="1" x14ac:dyDescent="0.3">
      <c r="A14" s="27"/>
      <c r="B14" s="25" t="s">
        <v>122</v>
      </c>
      <c r="C14" s="26" t="s">
        <v>123</v>
      </c>
      <c r="D14" s="26" t="s">
        <v>133</v>
      </c>
    </row>
    <row r="15" spans="1:4" ht="15" customHeight="1" x14ac:dyDescent="0.3">
      <c r="A15" s="24" t="s">
        <v>134</v>
      </c>
      <c r="B15" s="25" t="s">
        <v>107</v>
      </c>
      <c r="C15" s="26" t="s">
        <v>126</v>
      </c>
      <c r="D15" s="26" t="s">
        <v>135</v>
      </c>
    </row>
    <row r="16" spans="1:4" ht="23.85" customHeight="1" x14ac:dyDescent="0.3">
      <c r="A16" s="27"/>
      <c r="B16" s="25" t="s">
        <v>116</v>
      </c>
      <c r="C16" s="26" t="s">
        <v>136</v>
      </c>
      <c r="D16" s="26" t="s">
        <v>137</v>
      </c>
    </row>
    <row r="17" spans="1:4" ht="23.85" customHeight="1" x14ac:dyDescent="0.3">
      <c r="A17" s="27"/>
      <c r="B17" s="25" t="s">
        <v>110</v>
      </c>
      <c r="C17" s="26" t="s">
        <v>138</v>
      </c>
      <c r="D17" s="26" t="s">
        <v>139</v>
      </c>
    </row>
    <row r="19" spans="1:4" ht="18" customHeight="1" x14ac:dyDescent="0.3">
      <c r="A19" s="43" t="s">
        <v>140</v>
      </c>
      <c r="B19" s="30"/>
      <c r="C19" s="30"/>
      <c r="D19" s="30"/>
    </row>
    <row r="20" spans="1:4" ht="23.85" customHeight="1" x14ac:dyDescent="0.3">
      <c r="A20" s="27"/>
      <c r="B20" s="25" t="s">
        <v>122</v>
      </c>
      <c r="C20" s="26" t="s">
        <v>123</v>
      </c>
      <c r="D20" s="26" t="s">
        <v>141</v>
      </c>
    </row>
    <row r="21" spans="1:4" ht="15" customHeight="1" x14ac:dyDescent="0.3">
      <c r="A21" s="27"/>
      <c r="B21" s="25" t="s">
        <v>113</v>
      </c>
      <c r="C21" s="26" t="s">
        <v>120</v>
      </c>
      <c r="D21" s="26" t="s">
        <v>142</v>
      </c>
    </row>
    <row r="22" spans="1:4" ht="15" customHeight="1" x14ac:dyDescent="0.3">
      <c r="A22" s="27"/>
      <c r="B22" s="25" t="s">
        <v>107</v>
      </c>
      <c r="C22" s="26" t="s">
        <v>126</v>
      </c>
      <c r="D22" s="26" t="s">
        <v>143</v>
      </c>
    </row>
    <row r="25" spans="1:4" ht="15" customHeight="1" x14ac:dyDescent="0.3">
      <c r="A25" s="45" t="s">
        <v>144</v>
      </c>
      <c r="B25" s="30"/>
      <c r="C25" s="30"/>
      <c r="D25" s="30"/>
    </row>
    <row r="26" spans="1:4" ht="15" customHeight="1" x14ac:dyDescent="0.3">
      <c r="A26" s="19" t="s">
        <v>145</v>
      </c>
      <c r="B26" s="19" t="s">
        <v>146</v>
      </c>
    </row>
    <row r="27" spans="1:4" ht="15" customHeight="1" x14ac:dyDescent="0.3">
      <c r="A27" s="18" t="s">
        <v>87</v>
      </c>
      <c r="B27" s="28">
        <v>9</v>
      </c>
    </row>
    <row r="28" spans="1:4" ht="15" customHeight="1" x14ac:dyDescent="0.3">
      <c r="A28" s="18" t="s">
        <v>88</v>
      </c>
      <c r="B28" s="28">
        <v>7</v>
      </c>
    </row>
    <row r="29" spans="1:4" ht="15" customHeight="1" x14ac:dyDescent="0.3">
      <c r="A29" s="18" t="s">
        <v>89</v>
      </c>
      <c r="B29" s="28">
        <v>4</v>
      </c>
    </row>
    <row r="30" spans="1:4" ht="15" customHeight="1" x14ac:dyDescent="0.3">
      <c r="A30" s="18" t="s">
        <v>90</v>
      </c>
      <c r="B30" s="28">
        <v>0.1</v>
      </c>
    </row>
    <row r="31" spans="1:4" ht="15" customHeight="1" x14ac:dyDescent="0.3">
      <c r="A31" s="18" t="s">
        <v>91</v>
      </c>
      <c r="B31" s="28">
        <v>0</v>
      </c>
    </row>
    <row r="33" spans="1:4" ht="22.35" customHeight="1" x14ac:dyDescent="0.3">
      <c r="A33" s="46" t="s">
        <v>147</v>
      </c>
      <c r="B33" s="30"/>
      <c r="C33" s="30"/>
      <c r="D33" s="30"/>
    </row>
  </sheetData>
  <mergeCells count="4">
    <mergeCell ref="A19:D19"/>
    <mergeCell ref="A1:D1"/>
    <mergeCell ref="A25:D25"/>
    <mergeCell ref="A33:D33"/>
  </mergeCells>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Petunjuk</vt:lpstr>
      <vt:lpstr>Perbandingan_DREAD-CVSS</vt:lpstr>
      <vt:lpstr>CVSS_Template</vt:lpstr>
      <vt:lpstr>Ringkasan</vt:lpstr>
      <vt:lpstr>CVSS_Guidelines</vt:lpstr>
      <vt:lpstr>CVSS_Template!Print_Titles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2026-10-28T16:40:02Z</dcterms:created>
  <dcterms:modified xsi:type="dcterms:W3CDTF">2026-10-29T08:29:56Z</dcterms:modified>
  <dc:language/>
</cp:coreProperties>
</file>