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ragon\www\FindServices\ksi\"/>
    </mc:Choice>
  </mc:AlternateContent>
  <xr:revisionPtr revIDLastSave="0" documentId="13_ncr:1_{5994CA91-B190-4181-9F93-8E28D00F0EA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etunjuk" sheetId="1" r:id="rId1"/>
    <sheet name="STRIDE_DREAD_Template" sheetId="2" r:id="rId2"/>
    <sheet name="Ringkasan" sheetId="3" r:id="rId3"/>
    <sheet name="STRIDE_Guidelines" sheetId="4" r:id="rId4"/>
    <sheet name="DREAD_Guidelines" sheetId="5" r:id="rId5"/>
  </sheets>
  <definedNames>
    <definedName name="_xlnm._FilterDatabase" localSheetId="1" hidden="1">STRIDE_DREAD_Template!$A$4:$S$44</definedName>
    <definedName name="_xlnm.Print_Titles" localSheetId="1">STRIDE_DREAD_Template!$3:$4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3" l="1"/>
  <c r="C16" i="3"/>
  <c r="C15" i="3"/>
  <c r="C14" i="3"/>
  <c r="C13" i="3"/>
  <c r="C12" i="3"/>
  <c r="R44" i="2"/>
  <c r="Q44" i="2"/>
  <c r="P44" i="2"/>
  <c r="J44" i="2"/>
  <c r="R43" i="2"/>
  <c r="P43" i="2"/>
  <c r="Q43" i="2" s="1"/>
  <c r="J43" i="2"/>
  <c r="R42" i="2"/>
  <c r="P42" i="2"/>
  <c r="Q42" i="2" s="1"/>
  <c r="J42" i="2"/>
  <c r="P41" i="2"/>
  <c r="R41" i="2" s="1"/>
  <c r="J41" i="2"/>
  <c r="R40" i="2"/>
  <c r="Q40" i="2"/>
  <c r="P40" i="2"/>
  <c r="J40" i="2"/>
  <c r="P39" i="2"/>
  <c r="R39" i="2" s="1"/>
  <c r="J39" i="2"/>
  <c r="R38" i="2"/>
  <c r="P38" i="2"/>
  <c r="Q38" i="2" s="1"/>
  <c r="J38" i="2"/>
  <c r="P37" i="2"/>
  <c r="Q37" i="2" s="1"/>
  <c r="J37" i="2"/>
  <c r="R36" i="2"/>
  <c r="Q36" i="2"/>
  <c r="P36" i="2"/>
  <c r="J36" i="2"/>
  <c r="P35" i="2"/>
  <c r="R35" i="2" s="1"/>
  <c r="J35" i="2"/>
  <c r="R34" i="2"/>
  <c r="P34" i="2"/>
  <c r="Q34" i="2" s="1"/>
  <c r="J34" i="2"/>
  <c r="P33" i="2"/>
  <c r="R33" i="2" s="1"/>
  <c r="J33" i="2"/>
  <c r="R32" i="2"/>
  <c r="Q32" i="2"/>
  <c r="P32" i="2"/>
  <c r="J32" i="2"/>
  <c r="P31" i="2"/>
  <c r="R31" i="2" s="1"/>
  <c r="J31" i="2"/>
  <c r="R30" i="2"/>
  <c r="P30" i="2"/>
  <c r="Q30" i="2" s="1"/>
  <c r="J30" i="2"/>
  <c r="P29" i="2"/>
  <c r="R29" i="2" s="1"/>
  <c r="J29" i="2"/>
  <c r="R28" i="2"/>
  <c r="Q28" i="2"/>
  <c r="P28" i="2"/>
  <c r="J28" i="2"/>
  <c r="P27" i="2"/>
  <c r="R27" i="2" s="1"/>
  <c r="J27" i="2"/>
  <c r="R26" i="2"/>
  <c r="P26" i="2"/>
  <c r="Q26" i="2" s="1"/>
  <c r="J26" i="2"/>
  <c r="P25" i="2"/>
  <c r="R25" i="2" s="1"/>
  <c r="J25" i="2"/>
  <c r="R24" i="2"/>
  <c r="Q24" i="2"/>
  <c r="P24" i="2"/>
  <c r="J24" i="2"/>
  <c r="P23" i="2"/>
  <c r="R23" i="2" s="1"/>
  <c r="J23" i="2"/>
  <c r="R22" i="2"/>
  <c r="P22" i="2"/>
  <c r="Q22" i="2" s="1"/>
  <c r="J22" i="2"/>
  <c r="P21" i="2"/>
  <c r="R21" i="2" s="1"/>
  <c r="J21" i="2"/>
  <c r="R20" i="2"/>
  <c r="Q20" i="2"/>
  <c r="P20" i="2"/>
  <c r="J20" i="2"/>
  <c r="P19" i="2"/>
  <c r="R19" i="2" s="1"/>
  <c r="J19" i="2"/>
  <c r="R18" i="2"/>
  <c r="P18" i="2"/>
  <c r="Q18" i="2" s="1"/>
  <c r="J18" i="2"/>
  <c r="P17" i="2"/>
  <c r="R17" i="2" s="1"/>
  <c r="J17" i="2"/>
  <c r="R16" i="2"/>
  <c r="Q16" i="2"/>
  <c r="P16" i="2"/>
  <c r="J16" i="2"/>
  <c r="P15" i="2"/>
  <c r="R15" i="2" s="1"/>
  <c r="J15" i="2"/>
  <c r="R14" i="2"/>
  <c r="P14" i="2"/>
  <c r="Q14" i="2" s="1"/>
  <c r="J14" i="2"/>
  <c r="P13" i="2"/>
  <c r="R13" i="2" s="1"/>
  <c r="J13" i="2"/>
  <c r="R12" i="2"/>
  <c r="Q12" i="2"/>
  <c r="P12" i="2"/>
  <c r="J12" i="2"/>
  <c r="P11" i="2"/>
  <c r="R11" i="2" s="1"/>
  <c r="J11" i="2"/>
  <c r="R10" i="2"/>
  <c r="P10" i="2"/>
  <c r="Q10" i="2" s="1"/>
  <c r="J10" i="2"/>
  <c r="C20" i="3"/>
  <c r="Q13" i="2" l="1"/>
  <c r="Q17" i="2"/>
  <c r="Q21" i="2"/>
  <c r="Q29" i="2"/>
  <c r="Q33" i="2"/>
  <c r="Q41" i="2"/>
  <c r="R37" i="2"/>
  <c r="C22" i="3" s="1"/>
  <c r="Q25" i="2"/>
  <c r="Q11" i="2"/>
  <c r="Q15" i="2"/>
  <c r="Q19" i="2"/>
  <c r="Q23" i="2"/>
  <c r="Q27" i="2"/>
  <c r="Q31" i="2"/>
  <c r="Q35" i="2"/>
  <c r="Q39" i="2"/>
  <c r="C21" i="3"/>
  <c r="C7" i="3" l="1"/>
  <c r="C6" i="3"/>
  <c r="C8" i="3"/>
  <c r="C5" i="3"/>
  <c r="C9" i="3" l="1"/>
</calcChain>
</file>

<file path=xl/sharedStrings.xml><?xml version="1.0" encoding="utf-8"?>
<ns0:sst xmlns:ns0="http://schemas.openxmlformats.org/spreadsheetml/2006/main" count="192" uniqueCount="172">
  <ns0:si>
    <ns0:t>Template Latihan STRIDE + DREAD</ns0:t>
  </ns0:si>
  <ns0:si>
    <ns0:t>Mata kuliah Cybersecurity · Pertemuan 3 Threat Modelling · Dosen: Muhamad Yusril Helmi Setyawan</ns0:t>
  </ns0:si>
  <ns0:si>
    <ns0:t>Tujuan</ns0:t>
  </ns0:si>
  <ns0:si>
    <ns0:t>Mengklasifikasikan ancaman dengan STRIDE, menilainya dengan DREAD, lalu mengurutkan prioritas mitigasi.</ns0:t>
  </ns0:si>
  <ns0:si>
    <ns0:t>Langkah 1</ns0:t>
  </ns0:si>
  <ns0:si>
    <ns0:t>Buka sheet STRIDE_DREAD_Template. Pada baris contoh (CVE nyata) lihat pola pengisiannya; hapus isinya bila tidak dipakai.</ns0:t>
  </ns0:si>
  <ns0:si>
    <ns0:t>Langkah 2</ns0:t>
  </ns0:si>
  <ns0:si>
    <ns0:t>Isi kolom ID dan Deskripsi ancaman (boleh CVE atau ancaman studi kasus e-commerce).</ns0:t>
  </ns0:si>
  <ns0:si>
    <ns0:t>Langkah 3</ns0:t>
  </ns0:si>
  <ns0:si>
    <ns0:t>STRIDE: isi 1 bila kategori itu berlaku, 0 bila tidak (pilih dari daftar). Satu ancaman bisa punya beberapa kategori.</ns0:t>
  </ns0:si>
  <ns0:si>
    <ns0:t>Langkah 4</ns0:t>
  </ns0:si>
  <ns0:si>
    <ns0:t>DREAD: isi skor 0–10 untuk 5 dimensi. Gunakan sheet DREAD_Guidelines sebagai patokan agar skor konsisten.</ns0:t>
  </ns0:si>
  <ns0:si>
    <ns0:t>Langkah 5</ns0:t>
  </ns0:si>
  <ns0:si>
    <ns0:t>Total, Level Risiko, dan Prioritas terhitung otomatis. Jangan diubah. Lihat rekap dan grafik di sheet Ringkasan.</ns0:t>
  </ns0:si>
  <ns0:si>
    <ns0:t>Warna sel</ns0:t>
  </ns0:si>
  <ns0:si>
    <ns0:t>Kuning muda = diisi mahasiswa  ·  Abu-abu = rumus otomatis (jangan diedit)  ·  Biru = STRIDE  ·  Oranye = DREAD  ·  Hijau = hasil.</ns0:t>
  </ns0:si>
  <ns0:si>
    <ns0:t>Skala level</ns0:t>
  </ns0:si>
  <ns0:si>
    <ns0:t>Total DREAD 0–50: CRITICAL ≥ 40, HIGH 30–39, MEDIUM 20–29, LOW &lt; 20. Batas dapat diubah di sheet DREAD_Guidelines.</ns0:t>
  </ns0:si>
  <ns0:si>
    <ns0:t>Catatan</ns0:t>
  </ns0:si>
  <ns0:si>
    <ns0:t>Total dan level baru muncul setelah kelima skor DREAD terisi. Kapasitas 40 baris. DREAD bersifat subjektif: tuliskan alasan skor pada kolom Catatan.</ns0:t>
  </ns0:si>
  <ns0:si>
    <ns0:t>Sheet lain</ns0:t>
  </ns0:si>
  <ns0:si>
    <ns0:t>Ringkasan (rekap otomatis) · STRIDE_Guidelines (definisi dan contoh) · DREAD_Guidelines (rubrik skor dan skala risiko).</ns0:t>
  </ns0:si>
  <ns0:si>
    <ns0:t>Latihan STRIDE + DREAD</ns0:t>
  </ns0:si>
  <ns0:si>
    <ns0:t>Isi hanya sel kuning. STRIDE: 1 = berlaku, 0 = tidak. DREAD: skor 0–10. Kolom abu-abu dan hijau terhitung otomatis.</ns0:t>
  </ns0:si>
  <ns0:si>
    <ns0:t>Identitas</ns0:t>
  </ns0:si>
  <ns0:si>
    <ns0:t>STRIDE (1 = ya, 0 = tidak)</ns0:t>
  </ns0:si>
  <ns0:si>
    <ns0:t>DREAD (skor 0–10)</ns0:t>
  </ns0:si>
  <ns0:si>
    <ns0:t>Hasil otomatis</ns0:t>
  </ns0:si>
  <ns0:si>
    <ns0:t>No</ns0:t>
  </ns0:si>
  <ns0:si>
    <ns0:t>ID Ancaman / CVE</ns0:t>
  </ns0:si>
  <ns0:si>
    <ns0:t>Deskripsi</ns0:t>
  </ns0:si>
  <ns0:si>
    <ns0:t>S
Spoofing</ns0:t>
  </ns0:si>
  <ns0:si>
    <ns0:t>T
Tampering</ns0:t>
  </ns0:si>
  <ns0:si>
    <ns0:t>R
Repudiation</ns0:t>
  </ns0:si>
  <ns0:si>
    <ns0:t>I
Info Disclosure</ns0:t>
  </ns0:si>
  <ns0:si>
    <ns0:t>D
Denial of Service</ns0:t>
  </ns0:si>
  <ns0:si>
    <ns0:t>E
Elevation of Privilege</ns0:t>
  </ns0:si>
  <ns0:si>
    <ns0:t>Jumlah
STRIDE</ns0:t>
  </ns0:si>
  <ns0:si>
    <ns0:t>Damage
(0–10)</ns0:t>
  </ns0:si>
  <ns0:si>
    <ns0:t>Reproducibility
(0–10)</ns0:t>
  </ns0:si>
  <ns0:si>
    <ns0:t>Exploitability
(0–10)</ns0:t>
  </ns0:si>
  <ns0:si>
    <ns0:t>Affected Users
(0–10)</ns0:t>
  </ns0:si>
  <ns0:si>
    <ns0:t>Discoverability
(0–10)</ns0:t>
  </ns0:si>
  <ns0:si>
    <ns0:t>Total DREAD
(0–50)</ns0:t>
  </ns0:si>
  <ns0:si>
    <ns0:t>Level Risiko</ns0:t>
  </ns0:si>
  <ns0:si>
    <ns0:t>Prioritas
(1 = tertinggi)</ns0:t>
  </ns0:si>
  <ns0:si>
    <ns0:t>Catatan / alasan skor</ns0:t>
  </ns0:si>
  <ns0:si>
    <ns0:t>Ringkasan Hasil</ns0:t>
  </ns0:si>
  <ns0:si>
    <ns0:t>Jumlah ancaman</ns0:t>
  </ns0:si>
  <ns0:si>
    <ns0:t>CRITICAL</ns0:t>
  </ns0:si>
  <ns0:si>
    <ns0:t>HIGH</ns0:t>
  </ns0:si>
  <ns0:si>
    <ns0:t>MEDIUM</ns0:t>
  </ns0:si>
  <ns0:si>
    <ns0:t>LOW</ns0:t>
  </ns0:si>
  <ns0:si>
    <ns0:t>Total ternilai</ns0:t>
  </ns0:si>
  <ns0:si>
    <ns0:t>Kategori STRIDE</ns0:t>
  </ns0:si>
  <ns0:si>
    <ns0:t>Spoofing</ns0:t>
  </ns0:si>
  <ns0:si>
    <ns0:t>Tampering</ns0:t>
  </ns0:si>
  <ns0:si>
    <ns0:t>Repudiation</ns0:t>
  </ns0:si>
  <ns0:si>
    <ns0:t>Information Disclosure</ns0:t>
  </ns0:si>
  <ns0:si>
    <ns0:t>Denial of Service</ns0:t>
  </ns0:si>
  <ns0:si>
    <ns0:t>Elevation of Privilege</ns0:t>
  </ns0:si>
  <ns0:si>
    <ns0:t>Indikator</ns0:t>
  </ns0:si>
  <ns0:si>
    <ns0:t>Nilai</ns0:t>
  </ns0:si>
  <ns0:si>
    <ns0:t>Rata-rata total DREAD</ns0:t>
  </ns0:si>
  <ns0:si>
    <ns0:t>Skor DREAD tertinggi</ns0:t>
  </ns0:si>
  <ns0:si>
    <ns0:t>Ancaman prioritas 1</ns0:t>
  </ns0:si>
  <ns0:si>
    <ns0:t>Panduan Kategori STRIDE</ns0:t>
  </ns0:si>
  <ns0:si>
    <ns0:t>Kategori</ns0:t>
  </ns0:si>
  <ns0:si>
    <ns0:t>Definisi</ns0:t>
  </ns0:si>
  <ns0:si>
    <ns0:t>Contoh serangan</ns0:t>
  </ns0:si>
  <ns0:si>
    <ns0:t>Aspek keamanan yang dilanggar</ns0:t>
  </ns0:si>
  <ns0:si>
    <ns0:t>Contoh kontrol</ns0:t>
  </ns0:si>
  <ns0:si>
    <ns0:t>S – Spoofing</ns0:t>
  </ns0:si>
  <ns0:si>
    <ns0:t>Pemalsuan identitas untuk akses ilegal.</ns0:t>
  </ns0:si>
  <ns0:si>
    <ns0:t>Password dicuri, session hijacking</ns0:t>
  </ns0:si>
  <ns0:si>
    <ns0:t>Autentikasi</ns0:t>
  </ns0:si>
  <ns0:si>
    <ns0:t>MFA, rate limit, reCAPTCHA</ns0:t>
  </ns0:si>
  <ns0:si>
    <ns0:t>T – Tampering</ns0:t>
  </ns0:si>
  <ns0:si>
    <ns0:t>Perubahan atau manipulasi data.</ns0:t>
  </ns0:si>
  <ns0:si>
    <ns0:t>SQL Injection, modifikasi file</ns0:t>
  </ns0:si>
  <ns0:si>
    <ns0:t>Integritas</ns0:t>
  </ns0:si>
  <ns0:si>
    <ns0:t>Prepared statements, WAF, hash/MAC</ns0:t>
  </ns0:si>
  <ns0:si>
    <ns0:t>R – Repudiation</ns0:t>
  </ns0:si>
  <ns0:si>
    <ns0:t>Penolakan aksi tanpa bukti.</ns0:t>
  </ns0:si>
  <ns0:si>
    <ns0:t>Log dihapus, aktivitas tidak tercatat</ns0:t>
  </ns0:si>
  <ns0:si>
    <ns0:t>Non-repudiation</ns0:t>
  </ns0:si>
  <ns0:si>
    <ns0:t>Log terverifikasi, tanda tangan digital</ns0:t>
  </ns0:si>
  <ns0:si>
    <ns0:t>I – Information Disclosure</ns0:t>
  </ns0:si>
  <ns0:si>
    <ns0:t>Kebocoran data sensitif.</ns0:t>
  </ns0:si>
  <ns0:si>
    <ns0:t>Data leak, bucket publik, API tidak aman</ns0:t>
  </ns0:si>
  <ns0:si>
    <ns0:t>Kerahasiaan</ns0:t>
  </ns0:si>
  <ns0:si>
    <ns0:t>Enkripsi, TLS + HSTS, masking</ns0:t>
  </ns0:si>
  <ns0:si>
    <ns0:t>D – Denial of Service</ns0:t>
  </ns0:si>
  <ns0:si>
    <ns0:t>Pelumpuhan layanan.</ns0:t>
  </ns0:si>
  <ns0:si>
    <ns0:t>DDoS, resource exhaustion</ns0:t>
  </ns0:si>
  <ns0:si>
    <ns0:t>Ketersediaan</ns0:t>
  </ns0:si>
  <ns0:si>
    <ns0:t>WAF/CDN, rate limiting, autoscaling</ns0:t>
  </ns0:si>
  <ns0:si>
    <ns0:t>E – Elevation of Privilege</ns0:t>
  </ns0:si>
  <ns0:si>
    <ns0:t>Kenaikan hak akses.</ns0:t>
  </ns0:si>
  <ns0:si>
    <ns0:t>Privilege escalation, RCE</ns0:t>
  </ns0:si>
  <ns0:si>
    <ns0:t>Otorisasi</ns0:t>
  </ns0:si>
  <ns0:si>
    <ns0:t>RBAC, least privilege, patching</ns0:t>
  </ns0:si>
  <ns0:si>
    <ns0:t>Rubrik Skor DREAD (0–10 per dimensi)</ns0:t>
  </ns0:si>
  <ns0:si>
    <ns0:t>Faktor</ns0:t>
  </ns0:si>
  <ns0:si>
    <ns0:t>Pertanyaan penuntun</ns0:t>
  </ns0:si>
  <ns0:si>
    <ns0:t>0–2</ns0:t>
  </ns0:si>
  <ns0:si>
    <ns0:t>3–5</ns0:t>
  </ns0:si>
  <ns0:si>
    <ns0:t>6–8</ns0:t>
  </ns0:si>
  <ns0:si>
    <ns0:t>9–10</ns0:t>
  </ns0:si>
  <ns0:si>
    <ns0:t>Damage</ns0:t>
  </ns0:si>
  <ns0:si>
    <ns0:t>Seberapa parah kerusakan jika berhasil?</ns0:t>
  </ns0:si>
  <ns0:si>
    <ns0:t>Dampak kecil</ns0:t>
  </ns0:si>
  <ns0:si>
    <ns0:t>Merusak sebagian fungsi</ns0:t>
  </ns0:si>
  <ns0:si>
    <ns0:t>Dampak tinggi</ns0:t>
  </ns0:si>
  <ns0:si>
    <ns0:t>Kritis</ns0:t>
  </ns0:si>
  <ns0:si>
    <ns0:t>Reproducibility</ns0:t>
  </ns0:si>
  <ns0:si>
    <ns0:t>Seberapa mudah serangan diulang?</ns0:t>
  </ns0:si>
  <ns0:si>
    <ns0:t>Sulit diulang</ns0:t>
  </ns0:si>
  <ns0:si>
    <ns0:t>Perlu beberapa langkah</ns0:t>
  </ns0:si>
  <ns0:si>
    <ns0:t>Mudah dengan tools</ns0:t>
  </ns0:si>
  <ns0:si>
    <ns0:t>Sangat mudah</ns0:t>
  </ns0:si>
  <ns0:si>
    <ns0:t>Exploitability</ns0:t>
  </ns0:si>
  <ns0:si>
    <ns0:t>Seberapa mudah dieksploitasi?</ns0:t>
  </ns0:si>
  <ns0:si>
    <ns0:t>Butuh skill tinggi</ns0:t>
  </ns0:si>
  <ns0:si>
    <ns0:t>Butuh autentikasi</ns0:t>
  </ns0:si>
  <ns0:si>
    <ns0:t>Eksploit dari internet</ns0:t>
  </ns0:si>
  <ns0:si>
    <ns0:t>Affected Users</ns0:t>
  </ns0:si>
  <ns0:si>
    <ns0:t>Berapa banyak pengguna terdampak?</ns0:t>
  </ns0:si>
  <ns0:si>
    <ns0:t>1–2 user</ns0:t>
  </ns0:si>
  <ns0:si>
    <ns0:t>5–10 user</ns0:t>
  </ns0:si>
  <ns0:si>
    <ns0:t>1 divisi</ns0:t>
  </ns0:si>
  <ns0:si>
    <ns0:t>Semua user</ns0:t>
  </ns0:si>
  <ns0:si>
    <ns0:t>Discoverability</ns0:t>
  </ns0:si>
  <ns0:si>
    <ns0:t>Seberapa mudah celah ditemukan?</ns0:t>
  </ns0:si>
  <ns0:si>
    <ns0:t>Sulit ditemukan</ns0:t>
  </ns0:si>
  <ns0:si>
    <ns0:t>Butuh pengetahuan</ns0:t>
  </ns0:si>
  <ns0:si>
    <ns0:t>Terdeteksi by scan</ns0:t>
  </ns0:si>
  <ns0:si>
    <ns0:t>Sangat mudah ditemukan</ns0:t>
  </ns0:si>
  <ns0:si>
    <ns0:t>Skala Level Risiko (dipakai rumus pada template)</ns0:t>
  </ns0:si>
  <ns0:si>
    <ns0:t>Level</ns0:t>
  </ns0:si>
  <ns0:si>
    <ns0:t>Total DREAD minimum</ns0:t>
  </ns0:si>
  <ns0:si>
    <ns0:t>Nilai biru pada kolom B boleh diubah dosen. Total DREAD = jumlah lima dimensi (maks 50).</ns0:t>
  </ns0:si>
  <ns0:si>
    <ns0:t>CVE-2023-28438 / CWE-285</ns0:t>
  </ns0:si>
  <ns0:si>
    <ns0:t>Broken Object Level Authorization (BOLA/IDOR) pada perubahan status Booking (BookingController::updateStatus baris 230 dinonaktifkan)</ns0:t>
  </ns0:si>
  <ns0:si>
    <ns0:t>Cek kepemilikan auth id dinonaktifkan sehingga pengguna lain dapat memanipulasi status order sembarang pengguna.</ns0:t>
  </ns0:si>
  <ns0:si>
    <ns0:t>CVE-2024-21516 / CWE-918</ns0:t>
  </ns0:si>
  <ns0:si>
    <ns0:t>Server-Side Request Forgery (SSRF) &amp; Unrestricted File Upload via validasi ekstensi/tipe MIME gambar (Image Upload)</ns0:t>
  </ns0:si>
  <ns0:si>
    <ns0:t>Upload gambar hanya validasi mime image tanpa verifikasi isi binari mendalam atau sanitasi payload SVG/WebP bermasalah.</ns0:t>
  </ns0:si>
  <ns0:si>
    <ns0:t>CVE-2023-45133 / CWE-306</ns0:t>
  </ns0:si>
  <ns0:si>
    <ns0:t>Missing Authentication &amp; Authorization pada Webhook / API Callback Midtrans (PaymentCallbackController)</ns0:t>
  </ns0:si>
  <ns0:si>
    <ns0:t>Verifikasi SHA512 rentan bypass jika secret key kosong/lemah di env, atau replay attack karena ketiadaan nonce/timestamp check.</ns0:t>
  </ns0:si>
  <ns0:si>
    <ns0:t>CVE-2022-31279 / CWE-862</ns0:t>
  </ns0:si>
  <ns0:si>
    <ns0:t>Improper Access Control &amp; BOLA pada Endpoint Pesan Chat (ChatController::destroy &amp; context viewer)</ns0:t>
  </ns0:si>
  <ns0:si>
    <ns0:t>Pengguna dapat menghapus atau melihat riwayat percakapan pihak lain dengan manipulasi hash ID booking/user.</ns0:t>
  </ns0:si>
  <ns0:si>
    <ns0:t>CVE-2023-40028 / CWE-209</ns0:t>
  </ns0:si>
  <ns0:si>
    <ns0:t>Information Disclosure via APP_DEBUG=true &amp; Logging Error Sensitive Data di Environment Production</ns0:t>
  </ns0:si>
  <ns0:si>
    <ns0:t>Debug mode aktif menampilkan stack trace, variabel lingkungan, kredensial DB, dan API Key saat terjadi exception.</ns0:t>
  </ns0:si>
  <ns0:si>
    <ns0:t>CVE-2023-38035 / CWE-770</ns0:t>
  </ns0:si>
  <ns0:si>
    <ns0:t>Denial of Service (DoS) via Unrestricted File Upload Size (10MB) &amp; Uncached Heavy Haversine Geolocation Query</ns0:t>
  </ns0:si>
  <ns0:si>
    <ns0:t>Endpoint marketplace dan upload gambar 10MB tanpa rate-limiting membebani CPU, RAM, dan I/O server web.</ns0:t>
  </ns0:si>
  <ns0:si>
    <ns0:t>CVE-2024-21501 / CWE-79</ns0:t>
  </ns0:si>
  <ns0:si>
    <ns0:t>Stored Cross-Site Scripting (XSS) pada Kolom Ulasan (Review), Deskripsi Jasa, dan Catatan Booking</ns0:t>
  </ns0:si>
  <ns0:si>
    <ns0:t>Payload script tersimpan dapat dieksekusi di browser admin atau pengguna lain jika sanitasi output HTML/v-html terlewat.</ns0:t>
  </ns0:si>
  <ns0:si>
    <ns0:t>CVE-2022-31129 / CWE-384</ns0:t>
  </ns0:si>
  <ns0:si>
    <ns0:t>Session Hijacking &amp; Insecure Session Configuration (SESSION_ENCRYPT=false, HTTP-only cookie missing over tunnel)</ns0:t>
  </ns0:si>
  <ns0:si>
    <ns0:t>Sesi pengguna tidak dienkripsi dalam tabel sessions DB dan rentan jika MITM terjadi pada jaringan lokal/tunnel non-TLS murni.</ns0:t>
  </ns0:si>
  <ns0:si>
    <ns0:t>CVE-2023-22809 / CWE-269</ns0:t>
  </ns0:si>
  <ns0:si>
    <ns0:t>Privilege Escalation via Mass Assignment pada Model User (Protected Fillable Role attribute exposure)</ns0:t>
  </ns0:si>
  <ns0:si>
    <ns0:t>Atribut role terdaftar di array protected fillable User model, memungkinkan injeksi parameter role=admin jika form request longgar.</ns0:t>
  </ns0:si>
  <ns0:si>
    <ns0:t>CVE-2023-34449 / CWE-770</ns0:t>
  </ns0:si>
  <ns0:si>
    <ns0:t>Denial of Service &amp; Message Flooding via WebSocket Laravel Reverb (/test-latency &amp; chat events)</ns0:t>
  </ns0:si>
  <ns0:si>
    <ns0:t>Endpoint /api/test-latency tanpa autentikasi dapat dipicu untuk membanjiri channel Reverb dan menghabiskan resource daemon.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</ns0:si>
</ns0:sst>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595959"/>
      <name val="Arial"/>
      <charset val="1"/>
    </font>
    <font>
      <b/>
      <sz val="11"/>
      <color rgb="FF1F3A5F"/>
      <name val="Arial"/>
      <charset val="1"/>
    </font>
    <font>
      <sz val="11"/>
      <name val="Arial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8"/>
      <color rgb="FF1F3A5F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b/>
      <sz val="16"/>
      <color rgb="FF1F3A5F"/>
      <name val="Arial"/>
      <charset val="1"/>
    </font>
    <font>
      <b/>
      <sz val="13"/>
      <color rgb="FF1F3A5F"/>
      <name val="Arial"/>
      <charset val="1"/>
    </font>
    <font>
      <sz val="11"/>
      <color rgb="FF0000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2E75B6"/>
        <bgColor rgb="FF4F81BD"/>
      </patternFill>
    </fill>
    <fill>
      <patternFill patternType="solid">
        <fgColor rgb="FFC55A11"/>
        <bgColor rgb="FFED7D31"/>
      </patternFill>
    </fill>
    <fill>
      <patternFill patternType="solid">
        <fgColor rgb="FF548235"/>
        <bgColor rgb="FF595959"/>
      </patternFill>
    </fill>
    <fill>
      <patternFill patternType="solid">
        <fgColor rgb="FFEDEDED"/>
        <bgColor rgb="FFFBF1E9"/>
      </patternFill>
    </fill>
    <fill>
      <patternFill patternType="solid">
        <fgColor rgb="FFFFF8D6"/>
        <bgColor rgb="FFFBF1E9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CC00"/>
      </patternFill>
    </fill>
    <fill>
      <patternFill patternType="solid">
        <fgColor rgb="FFA9D18E"/>
        <bgColor rgb="FFBFBFBF"/>
      </patternFill>
    </fill>
    <fill>
      <patternFill patternType="solid">
        <fgColor rgb="FFF2F7FC"/>
        <bgColor rgb="FFFBF1E9"/>
      </patternFill>
    </fill>
    <fill>
      <patternFill patternType="solid">
        <fgColor rgb="FFFBF1E9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4" fillId="0" borderId="0" xfId="0" applyFont="1"/>
    <xf numFmtId="0" fontId="13" fillId="0" borderId="1" xfId="0" applyFont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15" fillId="0" borderId="0" xfId="0" applyFont="1"/>
    <xf numFmtId="0" fontId="16" fillId="8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5">
    <dxf>
      <font>
        <b/>
        <color rgb="FF000000"/>
        <name val="Arial"/>
        <charset val="1"/>
      </font>
      <fill>
        <patternFill>
          <bgColor rgb="FFA9D18E"/>
        </patternFill>
      </fill>
    </dxf>
    <dxf>
      <font>
        <b/>
        <color rgb="FF000000"/>
        <name val="Arial"/>
        <charset val="1"/>
      </font>
      <fill>
        <patternFill>
          <bgColor rgb="FFFFD966"/>
        </patternFill>
      </fill>
    </dxf>
    <dxf>
      <font>
        <b/>
        <color rgb="FFFFFFFF"/>
        <name val="Arial"/>
        <charset val="1"/>
      </font>
      <fill>
        <patternFill>
          <bgColor rgb="FFED7D31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000000"/>
        <name val="Arial"/>
        <charset val="1"/>
      </font>
      <fill>
        <patternFill>
          <bgColor rgb="FF9DC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8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DEDED"/>
      <rgbColor rgb="FFFBF1E9"/>
      <rgbColor rgb="FF9DC3E6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ED7D31"/>
      <rgbColor rgb="FF595959"/>
      <rgbColor rgb="FFA9D18E"/>
      <rgbColor rgb="FF1F3A5F"/>
      <rgbColor rgb="FF4F81BD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d-ID" sz="1800" b="1" strike="noStrike" spc="-1">
                <a:solidFill>
                  <a:srgbClr val="000000"/>
                </a:solidFill>
                <a:latin typeface="Calibri"/>
              </a:rPr>
              <a:t>Jumlah ancaman per level risiko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Ringkasan!$C$4</c:f>
              <c:strCache>
                <c:ptCount val="1"/>
                <c:pt idx="0">
                  <c:v>Jumlah ancaman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Ringkasan!$B$5:$B$8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Ringkasan!$C$5:$C$8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7-4D1F-BC55-493652F04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88378"/>
        <c:axId val="43336223"/>
      </c:barChart>
      <c:catAx>
        <c:axId val="44888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43336223"/>
        <c:crosses val="autoZero"/>
        <c:auto val="1"/>
        <c:lblAlgn val="ctr"/>
        <c:lblOffset val="100"/>
        <c:noMultiLvlLbl val="0"/>
      </c:catAx>
      <c:valAx>
        <c:axId val="4333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44888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101160</xdr:rowOff>
    </xdr:from>
    <xdr:to>
      <xdr:col>12</xdr:col>
      <xdr:colOff>147600</xdr:colOff>
      <xdr:row>17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95" customWidth="1"/>
  </cols>
  <sheetData>
    <row r="2" spans="2:3" ht="39.75" customHeight="1" x14ac:dyDescent="0.3">
      <c r="B2" s="40" t="s">
        <v>0</v>
      </c>
      <c r="C2" s="40"/>
    </row>
    <row r="3" spans="2:3" x14ac:dyDescent="0.3">
      <c r="B3" s="41" t="s">
        <v>1</v>
      </c>
      <c r="C3" s="41"/>
    </row>
    <row r="5" spans="2:3" ht="33.75" customHeight="1" x14ac:dyDescent="0.3">
      <c r="B5" s="6" t="s">
        <v>2</v>
      </c>
      <c r="C5" s="7" t="s">
        <v>3</v>
      </c>
    </row>
    <row r="6" spans="2:3" ht="33.75" customHeight="1" x14ac:dyDescent="0.3">
      <c r="B6" s="6" t="s">
        <v>4</v>
      </c>
      <c r="C6" s="7" t="s">
        <v>5</v>
      </c>
    </row>
    <row r="7" spans="2:3" ht="33.75" customHeight="1" x14ac:dyDescent="0.3">
      <c r="B7" s="6" t="s">
        <v>6</v>
      </c>
      <c r="C7" s="7" t="s">
        <v>7</v>
      </c>
    </row>
    <row r="8" spans="2:3" ht="33.75" customHeight="1" x14ac:dyDescent="0.3">
      <c r="B8" s="6" t="s">
        <v>8</v>
      </c>
      <c r="C8" s="7" t="s">
        <v>9</v>
      </c>
    </row>
    <row r="9" spans="2:3" ht="33.75" customHeight="1" x14ac:dyDescent="0.3">
      <c r="B9" s="6" t="s">
        <v>10</v>
      </c>
      <c r="C9" s="7" t="s">
        <v>11</v>
      </c>
    </row>
    <row r="10" spans="2:3" ht="33.75" customHeight="1" x14ac:dyDescent="0.3">
      <c r="B10" s="6" t="s">
        <v>12</v>
      </c>
      <c r="C10" s="7" t="s">
        <v>13</v>
      </c>
    </row>
    <row r="11" spans="2:3" ht="33.75" customHeight="1" x14ac:dyDescent="0.3">
      <c r="B11" s="6" t="s">
        <v>14</v>
      </c>
      <c r="C11" s="7" t="s">
        <v>15</v>
      </c>
    </row>
    <row r="12" spans="2:3" ht="33.75" customHeight="1" x14ac:dyDescent="0.3">
      <c r="B12" s="6" t="s">
        <v>16</v>
      </c>
      <c r="C12" s="7" t="s">
        <v>17</v>
      </c>
    </row>
    <row r="13" spans="2:3" ht="33.75" customHeight="1" x14ac:dyDescent="0.3">
      <c r="B13" s="6" t="s">
        <v>18</v>
      </c>
      <c r="C13" s="7" t="s">
        <v>19</v>
      </c>
    </row>
    <row r="14" spans="2:3" ht="33.75" customHeight="1" x14ac:dyDescent="0.3">
      <c r="B14" s="6" t="s">
        <v>20</v>
      </c>
      <c r="C14" s="7" t="s">
        <v>21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ns0:sheetPr>
    <ns0:pageSetUpPr fitToPage="1"/>
  </ns0:sheetPr>
  <ns0:dimension ref="A1:S44"/>
  <ns0:sheetViews>
    <ns0:sheetView showGridLines="0" tabSelected="1" zoomScaleNormal="100" workbookViewId="0">
      <ns0:pane xSplit="3" ySplit="4" topLeftCell="D5" activePane="bottomRight" state="frozen"/>
      <ns0:selection pane="topRight" activeCell="D1" sqref="D1"/>
      <ns0:selection pane="bottomLeft" activeCell="A5" sqref="A5"/>
      <ns0:selection pane="bottomRight" activeCell="B5" sqref="B5"/>
    </ns0:sheetView>
  </ns0:sheetViews>
  <ns0:sheetFormatPr defaultColWidth="8.6640625" defaultRowHeight="14.4" ns3:dyDescent="0.3"/>
  <ns0:cols>
    <ns0:col min="1" max="1" width="5" customWidth="1"/>
    <ns0:col min="2" max="2" width="18" customWidth="1"/>
    <ns0:col min="3" max="3" width="34" customWidth="1"/>
    <ns0:col min="4" max="4" width="10" customWidth="1"/>
    <ns0:col min="5" max="5" width="11" customWidth="1"/>
    <ns0:col min="6" max="6" width="12" customWidth="1"/>
    <ns0:col min="7" max="8" width="13" customWidth="1"/>
    <ns0:col min="9" max="9" width="14" customWidth="1"/>
    <ns0:col min="10" max="10" width="9" customWidth="1"/>
    <ns0:col min="11" max="11" width="10" customWidth="1"/>
    <ns0:col min="12" max="12" width="15" customWidth="1"/>
    <ns0:col min="13" max="13" width="14" customWidth="1"/>
    <ns0:col min="14" max="15" width="15" customWidth="1"/>
    <ns0:col min="16" max="18" width="13" customWidth="1"/>
    <ns0:col min="19" max="19" width="34" customWidth="1"/>
  </ns0:cols>
  <ns0:sheetData>
    <ns0:row r="1" spans="1:19" ht="33.75" customHeight="1" ns3:dyDescent="0.3">
      <ns0:c r="A1" s="34" t="s">
        <ns0:v>22</ns0:v>
      </ns0:c>
      <ns0:c r="B1" s="34"/>
      <ns0:c r="C1" s="34"/>
      <ns0:c r="D1" s="34"/>
      <ns0:c r="E1" s="34"/>
      <ns0:c r="F1" s="34"/>
      <ns0:c r="G1" s="34"/>
      <ns0:c r="H1" s="34"/>
      <ns0:c r="I1" s="34"/>
      <ns0:c r="J1" s="34"/>
      <ns0:c r="K1" s="34"/>
      <ns0:c r="L1" s="34"/>
      <ns0:c r="M1" s="34"/>
      <ns0:c r="N1" s="34"/>
      <ns0:c r="O1" s="34"/>
      <ns0:c r="P1" s="34"/>
      <ns0:c r="Q1" s="34"/>
      <ns0:c r="R1" s="34"/>
      <ns0:c r="S1" s="34"/>
    </ns0:row>
    <ns0:row r="2" spans="1:19" ns3:dyDescent="0.3">
      <ns0:c r="A2" s="35" t="s">
        <ns0:v>23</ns0:v>
      </ns0:c>
      <ns0:c r="B2" s="35"/>
      <ns0:c r="C2" s="35"/>
      <ns0:c r="D2" s="35"/>
      <ns0:c r="E2" s="35"/>
      <ns0:c r="F2" s="35"/>
      <ns0:c r="G2" s="35"/>
      <ns0:c r="H2" s="35"/>
      <ns0:c r="I2" s="35"/>
      <ns0:c r="J2" s="35"/>
      <ns0:c r="K2" s="35"/>
      <ns0:c r="L2" s="35"/>
      <ns0:c r="M2" s="35"/>
      <ns0:c r="N2" s="35"/>
      <ns0:c r="O2" s="35"/>
      <ns0:c r="P2" s="35"/>
      <ns0:c r="Q2" s="35"/>
      <ns0:c r="R2" s="35"/>
      <ns0:c r="S2" s="35"/>
    </ns0:row>
    <ns0:row r="3" spans="1:19" ht="15" customHeight="1" ns3:dyDescent="0.3">
      <ns0:c r="A3" s="36" t="s">
        <ns0:v>24</ns0:v>
      </ns0:c>
      <ns0:c r="B3" s="36"/>
      <ns0:c r="C3" s="36"/>
      <ns0:c r="D3" s="37" t="s">
        <ns0:v>25</ns0:v>
      </ns0:c>
      <ns0:c r="E3" s="37"/>
      <ns0:c r="F3" s="37"/>
      <ns0:c r="G3" s="37"/>
      <ns0:c r="H3" s="37"/>
      <ns0:c r="I3" s="37"/>
      <ns0:c r="J3" s="37"/>
      <ns0:c r="K3" s="38" t="s">
        <ns0:v>26</ns0:v>
      </ns0:c>
      <ns0:c r="L3" s="38"/>
      <ns0:c r="M3" s="38"/>
      <ns0:c r="N3" s="38"/>
      <ns0:c r="O3" s="38"/>
      <ns0:c r="P3" s="39" t="s">
        <ns0:v>27</ns0:v>
      </ns0:c>
      <ns0:c r="Q3" s="39"/>
      <ns0:c r="R3" s="39"/>
      <ns0:c r="S3" s="4" t="s">
        <ns0:v>18</ns0:v>
      </ns0:c>
    </ns0:row>
    <ns0:row r="4" spans="1:19" ht="45.75" customHeight="1" ns3:dyDescent="0.3">
      <ns0:c r="A4" s="8" t="s">
        <ns0:v>28</ns0:v>
      </ns0:c>
      <ns0:c r="B4" s="8" t="s">
        <ns0:v>29</ns0:v>
      </ns0:c>
      <ns0:c r="C4" s="8" t="s">
        <ns0:v>30</ns0:v>
      </ns0:c>
      <ns0:c r="D4" s="9" t="s">
        <ns0:v>31</ns0:v>
      </ns0:c>
      <ns0:c r="E4" s="9" t="s">
        <ns0:v>32</ns0:v>
      </ns0:c>
      <ns0:c r="F4" s="9" t="s">
        <ns0:v>33</ns0:v>
      </ns0:c>
      <ns0:c r="G4" s="9" t="s">
        <ns0:v>34</ns0:v>
      </ns0:c>
      <ns0:c r="H4" s="9" t="s">
        <ns0:v>35</ns0:v>
      </ns0:c>
      <ns0:c r="I4" s="9" t="s">
        <ns0:v>36</ns0:v>
      </ns0:c>
      <ns0:c r="J4" s="9" t="s">
        <ns0:v>37</ns0:v>
      </ns0:c>
      <ns0:c r="K4" s="10" t="s">
        <ns0:v>38</ns0:v>
      </ns0:c>
      <ns0:c r="L4" s="10" t="s">
        <ns0:v>39</ns0:v>
      </ns0:c>
      <ns0:c r="M4" s="10" t="s">
        <ns0:v>40</ns0:v>
      </ns0:c>
      <ns0:c r="N4" s="10" t="s">
        <ns0:v>41</ns0:v>
      </ns0:c>
      <ns0:c r="O4" s="10" t="s">
        <ns0:v>42</ns0:v>
      </ns0:c>
      <ns0:c r="P4" s="11" t="s">
        <ns0:v>43</ns0:v>
      </ns0:c>
      <ns0:c r="Q4" s="11" t="s">
        <ns0:v>44</ns0:v>
      </ns0:c>
      <ns0:c r="R4" s="11" t="s">
        <ns0:v>45</ns0:v>
      </ns0:c>
      <ns0:c r="S4" s="8" t="s">
        <ns0:v>46</ns0:v>
      </ns0:c>
    </ns0:row>
    <ns0:row r="5" spans="1:19" ht="21.75" customHeight="1" ns3:dyDescent="0.3">
      <ns0:c r="A5" s="12">
        <ns0:v>1</ns0:v>
      </ns0:c>
      <ns0:c r="B5" s="13" t="s">
        <ns0:v>142</ns0:v>
      </ns0:c>
      <ns0:c r="C5" s="13" t="s">
        <ns0:v>143</ns0:v>
      </ns0:c>
      <ns0:c r="D5" s="14">
        <ns0:v>0</ns0:v>
      </ns0:c>
      <ns0:c r="E5" s="14">
        <ns0:v>1</ns0:v>
      </ns0:c>
      <ns0:c r="F5" s="14">
        <ns0:v>0</ns0:v>
      </ns0:c>
      <ns0:c r="G5" s="14">
        <ns0:v>1</ns0:v>
      </ns0:c>
      <ns0:c r="H5" s="14">
        <ns0:v>0</ns0:v>
      </ns0:c>
      <ns0:c r="I5" s="14">
        <ns0:v>1</ns0:v>
      </ns0:c>
      <ns0:c r="J5" s="12" t="str">
        <ns0:f>IF(COUNT(D5:I5)=0,"",SUM(D5:I5))</ns0:f>
        <ns0:v>3</ns0:v>
      </ns0:c>
      <ns0:c r="K5" s="14">
        <ns0:v>8</ns0:v>
      </ns0:c>
      <ns0:c r="L5" s="14">
        <ns0:v>9</ns0:v>
      </ns0:c>
      <ns0:c r="M5" s="14">
        <ns0:v>8</ns0:v>
      </ns0:c>
      <ns0:c r="N5" s="14">
        <ns0:v>8</ns0:v>
      </ns0:c>
      <ns0:c r="O5" s="14">
        <ns0:v>7</ns0:v>
      </ns0:c>
      <ns0:c r="P5" s="12" t="str">
        <ns0:f>IF(COUNT(K5:O5)=5,SUM(K5:O5),"")</ns0:f>
        <ns0:v>40</ns0:v>
      </ns0:c>
      <ns0:c r="Q5" s="12" t="str">
        <ns0:f>IF(P5="","",IF(P5&gt;=DREAD_Guidelines!$B$13,"CRITICAL",IF(P5&gt;=DREAD_Guidelines!$B$14,"HIGH",IF(P5&gt;=DREAD_Guidelines!$B$15,"MEDIUM","LOW"))))</ns0:f>
        <ns0:v>CRITICAL</ns0:v>
      </ns0:c>
      <ns0:c r="R5" s="12" t="str">
        <ns0:f>IF(P5="","",RANK(P5,$P$5:$P$44,0))</ns0:f>
        <ns0:v>2</ns0:v>
      </ns0:c>
      <ns0:c r="S5" s="13" t="s">
        <ns0:v>144</ns0:v>
      </ns0:c>
    </ns0:row>
    <ns0:row r="6" spans="1:19" ht="21.75" customHeight="1" ns3:dyDescent="0.3">
      <ns0:c r="A6" s="12">
        <ns0:v>2</ns0:v>
      </ns0:c>
      <ns0:c r="B6" s="13" t="s">
        <ns0:v>145</ns0:v>
      </ns0:c>
      <ns0:c r="C6" s="13" t="s">
        <ns0:v>146</ns0:v>
      </ns0:c>
      <ns0:c r="D6" s="14">
        <ns0:v>0</ns0:v>
      </ns0:c>
      <ns0:c r="E6" s="14">
        <ns0:v>1</ns0:v>
      </ns0:c>
      <ns0:c r="F6" s="14">
        <ns0:v>0</ns0:v>
      </ns0:c>
      <ns0:c r="G6" s="14">
        <ns0:v>1</ns0:v>
      </ns0:c>
      <ns0:c r="H6" s="14">
        <ns0:v>0</ns0:v>
      </ns0:c>
      <ns0:c r="I6" s="14">
        <ns0:v>1</ns0:v>
      </ns0:c>
      <ns0:c r="J6" s="12" t="str">
        <ns0:f>IF(COUNT(D6:I6)=0,"",SUM(D6:I6))</ns0:f>
        <ns0:v>3</ns0:v>
      </ns0:c>
      <ns0:c r="K6" s="14">
        <ns0:v>8</ns0:v>
      </ns0:c>
      <ns0:c r="L6" s="14">
        <ns0:v>7</ns0:v>
      </ns0:c>
      <ns0:c r="M6" s="14">
        <ns0:v>6</ns0:v>
      </ns0:c>
      <ns0:c r="N6" s="14">
        <ns0:v>7</ns0:v>
      </ns0:c>
      <ns0:c r="O6" s="14">
        <ns0:v>6</ns0:v>
      </ns0:c>
      <ns0:c r="P6" s="12" t="str">
        <ns0:f>IF(COUNT(K6:O6)=5,SUM(K6:O6),"")</ns0:f>
        <ns0:v>34</ns0:v>
      </ns0:c>
      <ns0:c r="Q6" s="12" t="str">
        <ns0:f>IF(P6="","",IF(P6&gt;=DREAD_Guidelines!$B$13,"CRITICAL",IF(P6&gt;=DREAD_Guidelines!$B$14,"HIGH",IF(P6&gt;=DREAD_Guidelines!$B$15,"MEDIUM","LOW"))))</ns0:f>
        <ns0:v>HIGH</ns0:v>
      </ns0:c>
      <ns0:c r="R6" s="12" t="str">
        <ns0:f>IF(P6="","",RANK(P6,$P$5:$P$44,0))</ns0:f>
        <ns0:v>8</ns0:v>
      </ns0:c>
      <ns0:c r="S6" s="13" t="s">
        <ns0:v>147</ns0:v>
      </ns0:c>
    </ns0:row>
    <ns0:row r="7" spans="1:19" ht="21.75" customHeight="1" ns3:dyDescent="0.3">
      <ns0:c r="A7" s="12">
        <ns0:v>3</ns0:v>
      </ns0:c>
      <ns0:c r="B7" s="13" t="s">
        <ns0:v>148</ns0:v>
      </ns0:c>
      <ns0:c r="C7" s="13" t="s">
        <ns0:v>149</ns0:v>
      </ns0:c>
      <ns0:c r="D7" s="14">
        <ns0:v>1</ns0:v>
      </ns0:c>
      <ns0:c r="E7" s="14">
        <ns0:v>1</ns0:v>
      </ns0:c>
      <ns0:c r="F7" s="14">
        <ns0:v>1</ns0:v>
      </ns0:c>
      <ns0:c r="G7" s="14">
        <ns0:v>0</ns0:v>
      </ns0:c>
      <ns0:c r="H7" s="14">
        <ns0:v>0</ns0:v>
      </ns0:c>
      <ns0:c r="I7" s="14">
        <ns0:v>0</ns0:v>
      </ns0:c>
      <ns0:c r="J7" s="12" t="str">
        <ns0:f>IF(COUNT(D7:I7)=0,"",SUM(D7:I7))</ns0:f>
        <ns0:v>3</ns0:v>
      </ns0:c>
      <ns0:c r="K7" s="14">
        <ns0:v>9</ns0:v>
      </ns0:c>
      <ns0:c r="L7" s="14">
        <ns0:v>8</ns0:v>
      </ns0:c>
      <ns0:c r="M7" s="14">
        <ns0:v>7</ns0:v>
      </ns0:c>
      <ns0:c r="N7" s="14">
        <ns0:v>8</ns0:v>
      </ns0:c>
      <ns0:c r="O7" s="14">
        <ns0:v>7</ns0:v>
      </ns0:c>
      <ns0:c r="P7" s="12" t="str">
        <ns0:f>IF(COUNT(K7:O7)=5,SUM(K7:O7),"")</ns0:f>
        <ns0:v>39</ns0:v>
      </ns0:c>
      <ns0:c r="Q7" s="12" t="str">
        <ns0:f>IF(P7="","",IF(P7&gt;=DREAD_Guidelines!$B$13,"CRITICAL",IF(P7&gt;=DREAD_Guidelines!$B$14,"HIGH",IF(P7&gt;=DREAD_Guidelines!$B$15,"MEDIUM","LOW"))))</ns0:f>
        <ns0:v>HIGH</ns0:v>
      </ns0:c>
      <ns0:c r="R7" s="12" t="str">
        <ns0:f>IF(P7="","",RANK(P7,$P$5:$P$44,0))</ns0:f>
        <ns0:v>4</ns0:v>
      </ns0:c>
      <ns0:c r="S7" s="13" t="s">
        <ns0:v>150</ns0:v>
      </ns0:c>
    </ns0:row>
    <ns0:row r="8" spans="1:19" ht="21.75" customHeight="1" ns3:dyDescent="0.3">
      <ns0:c r="A8" s="12">
        <ns0:v>4</ns0:v>
      </ns0:c>
      <ns0:c r="B8" s="13" t="s">
        <ns0:v>151</ns0:v>
      </ns0:c>
      <ns0:c r="C8" s="13" t="s">
        <ns0:v>152</ns0:v>
      </ns0:c>
      <ns0:c r="D8" s="14">
        <ns0:v>0</ns0:v>
      </ns0:c>
      <ns0:c r="E8" s="14">
        <ns0:v>1</ns0:v>
      </ns0:c>
      <ns0:c r="F8" s="14">
        <ns0:v>1</ns0:v>
      </ns0:c>
      <ns0:c r="G8" s="14">
        <ns0:v>1</ns0:v>
      </ns0:c>
      <ns0:c r="H8" s="14">
        <ns0:v>0</ns0:v>
      </ns0:c>
      <ns0:c r="I8" s="14">
        <ns0:v>0</ns0:v>
      </ns0:c>
      <ns0:c r="J8" s="12" t="str">
        <ns0:f>IF(COUNT(D8:I8)=0,"",SUM(D8:I8))</ns0:f>
        <ns0:v>3</ns0:v>
      </ns0:c>
      <ns0:c r="K8" s="14">
        <ns0:v>6</ns0:v>
      </ns0:c>
      <ns0:c r="L8" s="14">
        <ns0:v>8</ns0:v>
      </ns0:c>
      <ns0:c r="M8" s="14">
        <ns0:v>7</ns0:v>
      </ns0:c>
      <ns0:c r="N8" s="14">
        <ns0:v>6</ns0:v>
      </ns0:c>
      <ns0:c r="O8" s="14">
        <ns0:v>6</ns0:v>
      </ns0:c>
      <ns0:c r="P8" s="12" t="str">
        <ns0:f>IF(COUNT(K8:O8)=5,SUM(K8:O8),"")</ns0:f>
        <ns0:v>33</ns0:v>
      </ns0:c>
      <ns0:c r="Q8" s="12" t="str">
        <ns0:f>IF(P8="","",IF(P8&gt;=DREAD_Guidelines!$B$13,"CRITICAL",IF(P8&gt;=DREAD_Guidelines!$B$14,"HIGH",IF(P8&gt;=DREAD_Guidelines!$B$15,"MEDIUM","LOW"))))</ns0:f>
        <ns0:v>HIGH</ns0:v>
      </ns0:c>
      <ns0:c r="R8" s="12" t="str">
        <ns0:f>IF(P8="","",RANK(P8,$P$5:$P$44,0))</ns0:f>
        <ns0:v>10</ns0:v>
      </ns0:c>
      <ns0:c r="S8" s="13" t="s">
        <ns0:v>153</ns0:v>
      </ns0:c>
    </ns0:row>
    <ns0:row r="9" spans="1:19" ht="21.75" customHeight="1" ns3:dyDescent="0.3">
      <ns0:c r="A9" s="12">
        <ns0:v>5</ns0:v>
      </ns0:c>
      <ns0:c r="B9" s="13" t="s">
        <ns0:v>154</ns0:v>
      </ns0:c>
      <ns0:c r="C9" s="13" t="s">
        <ns0:v>155</ns0:v>
      </ns0:c>
      <ns0:c r="D9" s="14">
        <ns0:v>0</ns0:v>
      </ns0:c>
      <ns0:c r="E9" s="14">
        <ns0:v>0</ns0:v>
      </ns0:c>
      <ns0:c r="F9" s="14">
        <ns0:v>0</ns0:v>
      </ns0:c>
      <ns0:c r="G9" s="14">
        <ns0:v>1</ns0:v>
      </ns0:c>
      <ns0:c r="H9" s="14">
        <ns0:v>0</ns0:v>
      </ns0:c>
      <ns0:c r="I9" s="14">
        <ns0:v>0</ns0:v>
      </ns0:c>
      <ns0:c r="J9" s="12" t="str">
        <ns0:f>IF(COUNT(D9:I9)=0,"",SUM(D9:I9))</ns0:f>
        <ns0:v>1</ns0:v>
      </ns0:c>
      <ns0:c r="K9" s="14">
        <ns0:v>7</ns0:v>
      </ns0:c>
      <ns0:c r="L9" s="14">
        <ns0:v>9</ns0:v>
      </ns0:c>
      <ns0:c r="M9" s="14">
        <ns0:v>9</ns0:v>
      </ns0:c>
      <ns0:c r="N9" s="14">
        <ns0:v>9</ns0:v>
      </ns0:c>
      <ns0:c r="O9" s="14">
        <ns0:v>9</ns0:v>
      </ns0:c>
      <ns0:c r="P9" s="12" t="str">
        <ns0:f>IF(COUNT(K9:O9)=5,SUM(K9:O9),"")</ns0:f>
        <ns0:v>43</ns0:v>
      </ns0:c>
      <ns0:c r="Q9" s="12" t="str">
        <ns0:f>IF(P9="","",IF(P9&gt;=DREAD_Guidelines!$B$13,"CRITICAL",IF(P9&gt;=DREAD_Guidelines!$B$14,"HIGH",IF(P9&gt;=DREAD_Guidelines!$B$15,"MEDIUM","LOW"))))</ns0:f>
        <ns0:v>CRITICAL</ns0:v>
      </ns0:c>
      <ns0:c r="R9" s="12" t="str">
        <ns0:f>IF(P9="","",RANK(P9,$P$5:$P$44,0))</ns0:f>
        <ns0:v>1</ns0:v>
      </ns0:c>
      <ns0:c r="S9" s="13" t="s">
        <ns0:v>156</ns0:v>
      </ns0:c>
    </ns0:row>
    <ns0:row r="10" spans="1:19" ht="21.75" customHeight="1" ns3:dyDescent="0.3">
      <ns0:c r="A10" s="12">
        <ns0:v>6</ns0:v>
      </ns0:c>
      <ns0:c r="B10" s="13" t="s">
        <ns0:v>157</ns0:v>
      </ns0:c>
      <ns0:c r="C10" s="13" t="s">
        <ns0:v>158</ns0:v>
      </ns0:c>
      <ns0:c r="D10" s="14">
        <ns0:v>0</ns0:v>
      </ns0:c>
      <ns0:c r="E10" s="14">
        <ns0:v>0</ns0:v>
      </ns0:c>
      <ns0:c r="F10" s="14">
        <ns0:v>0</ns0:v>
      </ns0:c>
      <ns0:c r="G10" s="14">
        <ns0:v>0</ns0:v>
      </ns0:c>
      <ns0:c r="H10" s="14">
        <ns0:v>1</ns0:v>
      </ns0:c>
      <ns0:c r="I10" s="14">
        <ns0:v>0</ns0:v>
      </ns0:c>
      <ns0:c r="J10" s="12" t="str">
        <ns0:f>IF(COUNT(D10:I10)=0,"",SUM(D10:I10))</ns0:f>
        <ns0:v>1</ns0:v>
      </ns0:c>
      <ns0:c r="K10" s="14">
        <ns0:v>7</ns0:v>
      </ns0:c>
      <ns0:c r="L10" s="14">
        <ns0:v>8</ns0:v>
      </ns0:c>
      <ns0:c r="M10" s="14">
        <ns0:v>8</ns0:v>
      </ns0:c>
      <ns0:c r="N10" s="14">
        <ns0:v>8</ns0:v>
      </ns0:c>
      <ns0:c r="O10" s="14">
        <ns0:v>7</ns0:v>
      </ns0:c>
      <ns0:c r="P10" s="12" t="str">
        <ns0:f>IF(COUNT(K10:O10)=5,SUM(K10:O10),"")</ns0:f>
        <ns0:v>38</ns0:v>
      </ns0:c>
      <ns0:c r="Q10" s="12" t="str">
        <ns0:f>IF(P10="","",IF(P10&gt;=DREAD_Guidelines!$B$13,"CRITICAL",IF(P10&gt;=DREAD_Guidelines!$B$14,"HIGH",IF(P10&gt;=DREAD_Guidelines!$B$15,"MEDIUM","LOW"))))</ns0:f>
        <ns0:v>HIGH</ns0:v>
      </ns0:c>
      <ns0:c r="R10" s="12" t="str">
        <ns0:f>IF(P10="","",RANK(P10,$P$5:$P$44,0))</ns0:f>
        <ns0:v>5</ns0:v>
      </ns0:c>
      <ns0:c r="S10" s="13" t="s">
        <ns0:v>159</ns0:v>
      </ns0:c>
    </ns0:row>
    <ns0:row r="11" spans="1:19" ht="21.75" customHeight="1" ns3:dyDescent="0.3">
      <ns0:c r="A11" s="12">
        <ns0:v>7</ns0:v>
      </ns0:c>
      <ns0:c r="B11" s="13" t="s">
        <ns0:v>160</ns0:v>
      </ns0:c>
      <ns0:c r="C11" s="13" t="s">
        <ns0:v>161</ns0:v>
      </ns0:c>
      <ns0:c r="D11" s="14">
        <ns0:v>1</ns0:v>
      </ns0:c>
      <ns0:c r="E11" s="14">
        <ns0:v>1</ns0:v>
      </ns0:c>
      <ns0:c r="F11" s="14">
        <ns0:v>0</ns0:v>
      </ns0:c>
      <ns0:c r="G11" s="14">
        <ns0:v>1</ns0:v>
      </ns0:c>
      <ns0:c r="H11" s="14">
        <ns0:v>0</ns0:v>
      </ns0:c>
      <ns0:c r="I11" s="14">
        <ns0:v>1</ns0:v>
      </ns0:c>
      <ns0:c r="J11" s="12" t="str">
        <ns0:f>IF(COUNT(D11:I11)=0,"",SUM(D11:I11))</ns0:f>
        <ns0:v>4</ns0:v>
      </ns0:c>
      <ns0:c r="K11" s="14">
        <ns0:v>7</ns0:v>
      </ns0:c>
      <ns0:c r="L11" s="14">
        <ns0:v>8</ns0:v>
      </ns0:c>
      <ns0:c r="M11" s="14">
        <ns0:v>7</ns0:v>
      </ns0:c>
      <ns0:c r="N11" s="14">
        <ns0:v>8</ns0:v>
      </ns0:c>
      <ns0:c r="O11" s="14">
        <ns0:v>7</ns0:v>
      </ns0:c>
      <ns0:c r="P11" s="12" t="str">
        <ns0:f>IF(COUNT(K11:O11)=5,SUM(K11:O11),"")</ns0:f>
        <ns0:v>37</ns0:v>
      </ns0:c>
      <ns0:c r="Q11" s="12" t="str">
        <ns0:f>IF(P11="","",IF(P11&gt;=DREAD_Guidelines!$B$13,"CRITICAL",IF(P11&gt;=DREAD_Guidelines!$B$14,"HIGH",IF(P11&gt;=DREAD_Guidelines!$B$15,"MEDIUM","LOW"))))</ns0:f>
        <ns0:v>HIGH</ns0:v>
      </ns0:c>
      <ns0:c r="R11" s="12" t="str">
        <ns0:f>IF(P11="","",RANK(P11,$P$5:$P$44,0))</ns0:f>
        <ns0:v>6</ns0:v>
      </ns0:c>
      <ns0:c r="S11" s="13" t="s">
        <ns0:v>162</ns0:v>
      </ns0:c>
    </ns0:row>
    <ns0:row r="12" spans="1:19" ht="21.75" customHeight="1" ns3:dyDescent="0.3">
      <ns0:c r="A12" s="12">
        <ns0:v>8</ns0:v>
      </ns0:c>
      <ns0:c r="B12" s="13" t="s">
        <ns0:v>163</ns0:v>
      </ns0:c>
      <ns0:c r="C12" s="13" t="s">
        <ns0:v>164</ns0:v>
      </ns0:c>
      <ns0:c r="D12" s="14">
        <ns0:v>1</ns0:v>
      </ns0:c>
      <ns0:c r="E12" s="14">
        <ns0:v>0</ns0:v>
      </ns0:c>
      <ns0:c r="F12" s="14">
        <ns0:v>0</ns0:v>
      </ns0:c>
      <ns0:c r="G12" s="14">
        <ns0:v>1</ns0:v>
      </ns0:c>
      <ns0:c r="H12" s="14">
        <ns0:v>0</ns0:v>
      </ns0:c>
      <ns0:c r="I12" s="14">
        <ns0:v>1</ns0:v>
      </ns0:c>
      <ns0:c r="J12" s="12" t="str">
        <ns0:f>IF(COUNT(D12:I12)=0,"",SUM(D12:I12))</ns0:f>
        <ns0:v>3</ns0:v>
      </ns0:c>
      <ns0:c r="K12" s="14">
        <ns0:v>8</ns0:v>
      </ns0:c>
      <ns0:c r="L12" s="14">
        <ns0:v>7</ns0:v>
      </ns0:c>
      <ns0:c r="M12" s="14">
        <ns0:v>6</ns0:v>
      </ns0:c>
      <ns0:c r="N12" s="14">
        <ns0:v>7</ns0:v>
      </ns0:c>
      <ns0:c r="O12" s="14">
        <ns0:v>6</ns0:v>
      </ns0:c>
      <ns0:c r="P12" s="12" t="str">
        <ns0:f>IF(COUNT(K12:O12)=5,SUM(K12:O12),"")</ns0:f>
        <ns0:v>34</ns0:v>
      </ns0:c>
      <ns0:c r="Q12" s="12" t="str">
        <ns0:f>IF(P12="","",IF(P12&gt;=DREAD_Guidelines!$B$13,"CRITICAL",IF(P12&gt;=DREAD_Guidelines!$B$14,"HIGH",IF(P12&gt;=DREAD_Guidelines!$B$15,"MEDIUM","LOW"))))</ns0:f>
        <ns0:v>HIGH</ns0:v>
      </ns0:c>
      <ns0:c r="R12" s="12" t="str">
        <ns0:f>IF(P12="","",RANK(P12,$P$5:$P$44,0))</ns0:f>
        <ns0:v>8</ns0:v>
      </ns0:c>
      <ns0:c r="S12" s="13" t="s">
        <ns0:v>165</ns0:v>
      </ns0:c>
    </ns0:row>
    <ns0:row r="13" spans="1:19" ht="21.75" customHeight="1" ns3:dyDescent="0.3">
      <ns0:c r="A13" s="12">
        <ns0:v>9</ns0:v>
      </ns0:c>
      <ns0:c r="B13" s="13" t="s">
        <ns0:v>166</ns0:v>
      </ns0:c>
      <ns0:c r="C13" s="13" t="s">
        <ns0:v>167</ns0:v>
      </ns0:c>
      <ns0:c r="D13" s="14">
        <ns0:v>1</ns0:v>
      </ns0:c>
      <ns0:c r="E13" s="14">
        <ns0:v>1</ns0:v>
      </ns0:c>
      <ns0:c r="F13" s="14">
        <ns0:v>0</ns0:v>
      </ns0:c>
      <ns0:c r="G13" s="14">
        <ns0:v>0</ns0:v>
      </ns0:c>
      <ns0:c r="H13" s="14">
        <ns0:v>0</ns0:v>
      </ns0:c>
      <ns0:c r="I13" s="14">
        <ns0:v>1</ns0:v>
      </ns0:c>
      <ns0:c r="J13" s="12" t="str">
        <ns0:f>IF(COUNT(D13:I13)=0,"",SUM(D13:I13))</ns0:f>
        <ns0:v>3</ns0:v>
      </ns0:c>
      <ns0:c r="K13" s="14">
        <ns0:v>9</ns0:v>
      </ns0:c>
      <ns0:c r="L13" s="14">
        <ns0:v>8</ns0:v>
      </ns0:c>
      <ns0:c r="M13" s="14">
        <ns0:v>7</ns0:v>
      </ns0:c>
      <ns0:c r="N13" s="14">
        <ns0:v>7</ns0:v>
      </ns0:c>
      <ns0:c r="O13" s="14">
        <ns0:v>6</ns0:v>
      </ns0:c>
      <ns0:c r="P13" s="12" t="str">
        <ns0:f>IF(COUNT(K13:O13)=5,SUM(K13:O13),"")</ns0:f>
        <ns0:v>37</ns0:v>
      </ns0:c>
      <ns0:c r="Q13" s="12" t="str">
        <ns0:f>IF(P13="","",IF(P13&gt;=DREAD_Guidelines!$B$13,"CRITICAL",IF(P13&gt;=DREAD_Guidelines!$B$14,"HIGH",IF(P13&gt;=DREAD_Guidelines!$B$15,"MEDIUM","LOW"))))</ns0:f>
        <ns0:v>HIGH</ns0:v>
      </ns0:c>
      <ns0:c r="R13" s="12" t="str">
        <ns0:f>IF(P13="","",RANK(P13,$P$5:$P$44,0))</ns0:f>
        <ns0:v>6</ns0:v>
      </ns0:c>
      <ns0:c r="S13" s="13" t="s">
        <ns0:v>168</ns0:v>
      </ns0:c>
    </ns0:row>
    <ns0:row r="14" spans="1:19" ht="21.75" customHeight="1" ns3:dyDescent="0.3">
      <ns0:c r="A14" s="12">
        <ns0:v>10</ns0:v>
      </ns0:c>
      <ns0:c r="B14" s="13" t="s">
        <ns0:v>169</ns0:v>
      </ns0:c>
      <ns0:c r="C14" s="13" t="s">
        <ns0:v>170</ns0:v>
      </ns0:c>
      <ns0:c r="D14" s="14">
        <ns0:v>1</ns0:v>
      </ns0:c>
      <ns0:c r="E14" s="14">
        <ns0:v>0</ns0:v>
      </ns0:c>
      <ns0:c r="F14" s="14">
        <ns0:v>1</ns0:v>
      </ns0:c>
      <ns0:c r="G14" s="14">
        <ns0:v>0</ns0:v>
      </ns0:c>
      <ns0:c r="H14" s="14">
        <ns0:v>1</ns0:v>
      </ns0:c>
      <ns0:c r="I14" s="14">
        <ns0:v>0</ns0:v>
      </ns0:c>
      <ns0:c r="J14" s="12" t="str">
        <ns0:f>IF(COUNT(D14:I14)=0,"",SUM(D14:I14))</ns0:f>
        <ns0:v>3</ns0:v>
      </ns0:c>
      <ns0:c r="K14" s="14">
        <ns0:v>6</ns0:v>
      </ns0:c>
      <ns0:c r="L14" s="14">
        <ns0:v>9</ns0:v>
      </ns0:c>
      <ns0:c r="M14" s="14">
        <ns0:v>9</ns0:v>
      </ns0:c>
      <ns0:c r="N14" s="14">
        <ns0:v>8</ns0:v>
      </ns0:c>
      <ns0:c r="O14" s="14">
        <ns0:v>8</ns0:v>
      </ns0:c>
      <ns0:c r="P14" s="12" t="str">
        <ns0:f>IF(COUNT(K14:O14)=5,SUM(K14:O14),"")</ns0:f>
        <ns0:v>40</ns0:v>
      </ns0:c>
      <ns0:c r="Q14" s="12" t="str">
        <ns0:f>IF(P14="","",IF(P14&gt;=DREAD_Guidelines!$B$13,"CRITICAL",IF(P14&gt;=DREAD_Guidelines!$B$14,"HIGH",IF(P14&gt;=DREAD_Guidelines!$B$15,"MEDIUM","LOW"))))</ns0:f>
        <ns0:v>CRITICAL</ns0:v>
      </ns0:c>
      <ns0:c r="R14" s="12" t="str">
        <ns0:f>IF(P14="","",RANK(P14,$P$5:$P$44,0))</ns0:f>
        <ns0:v>2</ns0:v>
      </ns0:c>
      <ns0:c r="S14" s="13" t="s">
        <ns0:v>171</ns0:v>
      </ns0:c>
    </ns0:row>
    <ns0:row r="15" spans="1:19" ht="21.75" customHeight="1" ns3:dyDescent="0.3">
      <ns0:c r="A15" s="12">
        <ns0:v>11</ns0:v>
      </ns0:c>
      <ns0:c r="B15" s="13"/>
      <ns0:c r="C15" s="13"/>
      <ns0:c r="D15" s="14"/>
      <ns0:c r="E15" s="14"/>
      <ns0:c r="F15" s="14"/>
      <ns0:c r="G15" s="14"/>
      <ns0:c r="H15" s="14"/>
      <ns0:c r="I15" s="14"/>
      <ns0:c r="J15" s="12" t="str">
        <ns0:f>IF(COUNT(D15:I15)=0,"",SUM(D15:I15))</ns0:f>
      </ns0:c>
      <ns0:c r="K15" s="14"/>
      <ns0:c r="L15" s="14"/>
      <ns0:c r="M15" s="14"/>
      <ns0:c r="N15" s="14"/>
      <ns0:c r="O15" s="14"/>
      <ns0:c r="P15" s="12" t="str">
        <ns0:f>IF(COUNT(K15:O15)=5,SUM(K15:O15),"")</ns0:f>
      </ns0:c>
      <ns0:c r="Q15" s="12" t="str">
        <ns0:f>IF(P15="","",IF(P15&gt;=DREAD_Guidelines!$B$13,"CRITICAL",IF(P15&gt;=DREAD_Guidelines!$B$14,"HIGH",IF(P15&gt;=DREAD_Guidelines!$B$15,"MEDIUM","LOW"))))</ns0:f>
      </ns0:c>
      <ns0:c r="R15" s="12" t="str">
        <ns0:f>IF(P15="","",RANK(P15,$P$5:$P$44,0))</ns0:f>
      </ns0:c>
      <ns0:c r="S15" s="13"/>
    </ns0:row>
    <ns0:row r="16" spans="1:19" ht="21.75" customHeight="1" ns3:dyDescent="0.3">
      <ns0:c r="A16" s="12">
        <ns0:v>12</ns0:v>
      </ns0:c>
      <ns0:c r="B16" s="13"/>
      <ns0:c r="C16" s="13"/>
      <ns0:c r="D16" s="14"/>
      <ns0:c r="E16" s="14"/>
      <ns0:c r="F16" s="14"/>
      <ns0:c r="G16" s="14"/>
      <ns0:c r="H16" s="14"/>
      <ns0:c r="I16" s="14"/>
      <ns0:c r="J16" s="12" t="str">
        <ns0:f>IF(COUNT(D16:I16)=0,"",SUM(D16:I16))</ns0:f>
      </ns0:c>
      <ns0:c r="K16" s="14"/>
      <ns0:c r="L16" s="14"/>
      <ns0:c r="M16" s="14"/>
      <ns0:c r="N16" s="14"/>
      <ns0:c r="O16" s="14"/>
      <ns0:c r="P16" s="12" t="str">
        <ns0:f>IF(COUNT(K16:O16)=5,SUM(K16:O16),"")</ns0:f>
      </ns0:c>
      <ns0:c r="Q16" s="12" t="str">
        <ns0:f>IF(P16="","",IF(P16&gt;=DREAD_Guidelines!$B$13,"CRITICAL",IF(P16&gt;=DREAD_Guidelines!$B$14,"HIGH",IF(P16&gt;=DREAD_Guidelines!$B$15,"MEDIUM","LOW"))))</ns0:f>
      </ns0:c>
      <ns0:c r="R16" s="12" t="str">
        <ns0:f>IF(P16="","",RANK(P16,$P$5:$P$44,0))</ns0:f>
      </ns0:c>
      <ns0:c r="S16" s="13"/>
    </ns0:row>
    <ns0:row r="17" spans="1:19" ht="21.75" customHeight="1" ns3:dyDescent="0.3">
      <ns0:c r="A17" s="12">
        <ns0:v>13</ns0:v>
      </ns0:c>
      <ns0:c r="B17" s="13"/>
      <ns0:c r="C17" s="13"/>
      <ns0:c r="D17" s="14"/>
      <ns0:c r="E17" s="14"/>
      <ns0:c r="F17" s="14"/>
      <ns0:c r="G17" s="14"/>
      <ns0:c r="H17" s="14"/>
      <ns0:c r="I17" s="14"/>
      <ns0:c r="J17" s="12" t="str">
        <ns0:f>IF(COUNT(D17:I17)=0,"",SUM(D17:I17))</ns0:f>
      </ns0:c>
      <ns0:c r="K17" s="14"/>
      <ns0:c r="L17" s="14"/>
      <ns0:c r="M17" s="14"/>
      <ns0:c r="N17" s="14"/>
      <ns0:c r="O17" s="14"/>
      <ns0:c r="P17" s="12" t="str">
        <ns0:f>IF(COUNT(K17:O17)=5,SUM(K17:O17),"")</ns0:f>
      </ns0:c>
      <ns0:c r="Q17" s="12" t="str">
        <ns0:f>IF(P17="","",IF(P17&gt;=DREAD_Guidelines!$B$13,"CRITICAL",IF(P17&gt;=DREAD_Guidelines!$B$14,"HIGH",IF(P17&gt;=DREAD_Guidelines!$B$15,"MEDIUM","LOW"))))</ns0:f>
      </ns0:c>
      <ns0:c r="R17" s="12" t="str">
        <ns0:f>IF(P17="","",RANK(P17,$P$5:$P$44,0))</ns0:f>
      </ns0:c>
      <ns0:c r="S17" s="13"/>
    </ns0:row>
    <ns0:row r="18" spans="1:19" ht="21.75" customHeight="1" ns3:dyDescent="0.3">
      <ns0:c r="A18" s="12">
        <ns0:v>14</ns0:v>
      </ns0:c>
      <ns0:c r="B18" s="13"/>
      <ns0:c r="C18" s="13"/>
      <ns0:c r="D18" s="14"/>
      <ns0:c r="E18" s="14"/>
      <ns0:c r="F18" s="14"/>
      <ns0:c r="G18" s="14"/>
      <ns0:c r="H18" s="14"/>
      <ns0:c r="I18" s="14"/>
      <ns0:c r="J18" s="12" t="str">
        <ns0:f>IF(COUNT(D18:I18)=0,"",SUM(D18:I18))</ns0:f>
      </ns0:c>
      <ns0:c r="K18" s="14"/>
      <ns0:c r="L18" s="14"/>
      <ns0:c r="M18" s="14"/>
      <ns0:c r="N18" s="14"/>
      <ns0:c r="O18" s="14"/>
      <ns0:c r="P18" s="12" t="str">
        <ns0:f>IF(COUNT(K18:O18)=5,SUM(K18:O18),"")</ns0:f>
      </ns0:c>
      <ns0:c r="Q18" s="12" t="str">
        <ns0:f>IF(P18="","",IF(P18&gt;=DREAD_Guidelines!$B$13,"CRITICAL",IF(P18&gt;=DREAD_Guidelines!$B$14,"HIGH",IF(P18&gt;=DREAD_Guidelines!$B$15,"MEDIUM","LOW"))))</ns0:f>
      </ns0:c>
      <ns0:c r="R18" s="12" t="str">
        <ns0:f>IF(P18="","",RANK(P18,$P$5:$P$44,0))</ns0:f>
      </ns0:c>
      <ns0:c r="S18" s="13"/>
    </ns0:row>
    <ns0:row r="19" spans="1:19" ht="21.75" customHeight="1" ns3:dyDescent="0.3">
      <ns0:c r="A19" s="12">
        <ns0:v>15</ns0:v>
      </ns0:c>
      <ns0:c r="B19" s="13"/>
      <ns0:c r="C19" s="13"/>
      <ns0:c r="D19" s="14"/>
      <ns0:c r="E19" s="14"/>
      <ns0:c r="F19" s="14"/>
      <ns0:c r="G19" s="14"/>
      <ns0:c r="H19" s="14"/>
      <ns0:c r="I19" s="14"/>
      <ns0:c r="J19" s="12" t="str">
        <ns0:f>IF(COUNT(D19:I19)=0,"",SUM(D19:I19))</ns0:f>
      </ns0:c>
      <ns0:c r="K19" s="14"/>
      <ns0:c r="L19" s="14"/>
      <ns0:c r="M19" s="14"/>
      <ns0:c r="N19" s="14"/>
      <ns0:c r="O19" s="14"/>
      <ns0:c r="P19" s="12" t="str">
        <ns0:f>IF(COUNT(K19:O19)=5,SUM(K19:O19),"")</ns0:f>
      </ns0:c>
      <ns0:c r="Q19" s="12" t="str">
        <ns0:f>IF(P19="","",IF(P19&gt;=DREAD_Guidelines!$B$13,"CRITICAL",IF(P19&gt;=DREAD_Guidelines!$B$14,"HIGH",IF(P19&gt;=DREAD_Guidelines!$B$15,"MEDIUM","LOW"))))</ns0:f>
      </ns0:c>
      <ns0:c r="R19" s="12" t="str">
        <ns0:f>IF(P19="","",RANK(P19,$P$5:$P$44,0))</ns0:f>
      </ns0:c>
      <ns0:c r="S19" s="13"/>
    </ns0:row>
    <ns0:row r="20" spans="1:19" ht="21.75" customHeight="1" ns3:dyDescent="0.3">
      <ns0:c r="A20" s="12">
        <ns0:v>16</ns0:v>
      </ns0:c>
      <ns0:c r="B20" s="13"/>
      <ns0:c r="C20" s="13"/>
      <ns0:c r="D20" s="14"/>
      <ns0:c r="E20" s="14"/>
      <ns0:c r="F20" s="14"/>
      <ns0:c r="G20" s="14"/>
      <ns0:c r="H20" s="14"/>
      <ns0:c r="I20" s="14"/>
      <ns0:c r="J20" s="12" t="str">
        <ns0:f>IF(COUNT(D20:I20)=0,"",SUM(D20:I20))</ns0:f>
      </ns0:c>
      <ns0:c r="K20" s="14"/>
      <ns0:c r="L20" s="14"/>
      <ns0:c r="M20" s="14"/>
      <ns0:c r="N20" s="14"/>
      <ns0:c r="O20" s="14"/>
      <ns0:c r="P20" s="12" t="str">
        <ns0:f>IF(COUNT(K20:O20)=5,SUM(K20:O20),"")</ns0:f>
      </ns0:c>
      <ns0:c r="Q20" s="12" t="str">
        <ns0:f>IF(P20="","",IF(P20&gt;=DREAD_Guidelines!$B$13,"CRITICAL",IF(P20&gt;=DREAD_Guidelines!$B$14,"HIGH",IF(P20&gt;=DREAD_Guidelines!$B$15,"MEDIUM","LOW"))))</ns0:f>
      </ns0:c>
      <ns0:c r="R20" s="12" t="str">
        <ns0:f>IF(P20="","",RANK(P20,$P$5:$P$44,0))</ns0:f>
      </ns0:c>
      <ns0:c r="S20" s="13"/>
    </ns0:row>
    <ns0:row r="21" spans="1:19" ht="21.75" customHeight="1" ns3:dyDescent="0.3">
      <ns0:c r="A21" s="12">
        <ns0:v>17</ns0:v>
      </ns0:c>
      <ns0:c r="B21" s="13"/>
      <ns0:c r="C21" s="13"/>
      <ns0:c r="D21" s="14"/>
      <ns0:c r="E21" s="14"/>
      <ns0:c r="F21" s="14"/>
      <ns0:c r="G21" s="14"/>
      <ns0:c r="H21" s="14"/>
      <ns0:c r="I21" s="14"/>
      <ns0:c r="J21" s="12" t="str">
        <ns0:f>IF(COUNT(D21:I21)=0,"",SUM(D21:I21))</ns0:f>
      </ns0:c>
      <ns0:c r="K21" s="14"/>
      <ns0:c r="L21" s="14"/>
      <ns0:c r="M21" s="14"/>
      <ns0:c r="N21" s="14"/>
      <ns0:c r="O21" s="14"/>
      <ns0:c r="P21" s="12" t="str">
        <ns0:f>IF(COUNT(K21:O21)=5,SUM(K21:O21),"")</ns0:f>
      </ns0:c>
      <ns0:c r="Q21" s="12" t="str">
        <ns0:f>IF(P21="","",IF(P21&gt;=DREAD_Guidelines!$B$13,"CRITICAL",IF(P21&gt;=DREAD_Guidelines!$B$14,"HIGH",IF(P21&gt;=DREAD_Guidelines!$B$15,"MEDIUM","LOW"))))</ns0:f>
      </ns0:c>
      <ns0:c r="R21" s="12" t="str">
        <ns0:f>IF(P21="","",RANK(P21,$P$5:$P$44,0))</ns0:f>
      </ns0:c>
      <ns0:c r="S21" s="13"/>
    </ns0:row>
    <ns0:row r="22" spans="1:19" ht="21.75" customHeight="1" ns3:dyDescent="0.3">
      <ns0:c r="A22" s="12">
        <ns0:v>18</ns0:v>
      </ns0:c>
      <ns0:c r="B22" s="13"/>
      <ns0:c r="C22" s="13"/>
      <ns0:c r="D22" s="14"/>
      <ns0:c r="E22" s="14"/>
      <ns0:c r="F22" s="14"/>
      <ns0:c r="G22" s="14"/>
      <ns0:c r="H22" s="14"/>
      <ns0:c r="I22" s="14"/>
      <ns0:c r="J22" s="12" t="str">
        <ns0:f>IF(COUNT(D22:I22)=0,"",SUM(D22:I22))</ns0:f>
      </ns0:c>
      <ns0:c r="K22" s="14"/>
      <ns0:c r="L22" s="14"/>
      <ns0:c r="M22" s="14"/>
      <ns0:c r="N22" s="14"/>
      <ns0:c r="O22" s="14"/>
      <ns0:c r="P22" s="12" t="str">
        <ns0:f>IF(COUNT(K22:O22)=5,SUM(K22:O22),"")</ns0:f>
      </ns0:c>
      <ns0:c r="Q22" s="12" t="str">
        <ns0:f>IF(P22="","",IF(P22&gt;=DREAD_Guidelines!$B$13,"CRITICAL",IF(P22&gt;=DREAD_Guidelines!$B$14,"HIGH",IF(P22&gt;=DREAD_Guidelines!$B$15,"MEDIUM","LOW"))))</ns0:f>
      </ns0:c>
      <ns0:c r="R22" s="12" t="str">
        <ns0:f>IF(P22="","",RANK(P22,$P$5:$P$44,0))</ns0:f>
      </ns0:c>
      <ns0:c r="S22" s="13"/>
    </ns0:row>
    <ns0:row r="23" spans="1:19" ht="21.75" customHeight="1" ns3:dyDescent="0.3">
      <ns0:c r="A23" s="12">
        <ns0:v>19</ns0:v>
      </ns0:c>
      <ns0:c r="B23" s="13"/>
      <ns0:c r="C23" s="13"/>
      <ns0:c r="D23" s="14"/>
      <ns0:c r="E23" s="14"/>
      <ns0:c r="F23" s="14"/>
      <ns0:c r="G23" s="14"/>
      <ns0:c r="H23" s="14"/>
      <ns0:c r="I23" s="14"/>
      <ns0:c r="J23" s="12" t="str">
        <ns0:f>IF(COUNT(D23:I23)=0,"",SUM(D23:I23))</ns0:f>
      </ns0:c>
      <ns0:c r="K23" s="14"/>
      <ns0:c r="L23" s="14"/>
      <ns0:c r="M23" s="14"/>
      <ns0:c r="N23" s="14"/>
      <ns0:c r="O23" s="14"/>
      <ns0:c r="P23" s="12" t="str">
        <ns0:f>IF(COUNT(K23:O23)=5,SUM(K23:O23),"")</ns0:f>
      </ns0:c>
      <ns0:c r="Q23" s="12" t="str">
        <ns0:f>IF(P23="","",IF(P23&gt;=DREAD_Guidelines!$B$13,"CRITICAL",IF(P23&gt;=DREAD_Guidelines!$B$14,"HIGH",IF(P23&gt;=DREAD_Guidelines!$B$15,"MEDIUM","LOW"))))</ns0:f>
      </ns0:c>
      <ns0:c r="R23" s="12" t="str">
        <ns0:f>IF(P23="","",RANK(P23,$P$5:$P$44,0))</ns0:f>
      </ns0:c>
      <ns0:c r="S23" s="13"/>
    </ns0:row>
    <ns0:row r="24" spans="1:19" ht="21.75" customHeight="1" ns3:dyDescent="0.3">
      <ns0:c r="A24" s="12">
        <ns0:v>20</ns0:v>
      </ns0:c>
      <ns0:c r="B24" s="13"/>
      <ns0:c r="C24" s="13"/>
      <ns0:c r="D24" s="14"/>
      <ns0:c r="E24" s="14"/>
      <ns0:c r="F24" s="14"/>
      <ns0:c r="G24" s="14"/>
      <ns0:c r="H24" s="14"/>
      <ns0:c r="I24" s="14"/>
      <ns0:c r="J24" s="12" t="str">
        <ns0:f>IF(COUNT(D24:I24)=0,"",SUM(D24:I24))</ns0:f>
      </ns0:c>
      <ns0:c r="K24" s="14"/>
      <ns0:c r="L24" s="14"/>
      <ns0:c r="M24" s="14"/>
      <ns0:c r="N24" s="14"/>
      <ns0:c r="O24" s="14"/>
      <ns0:c r="P24" s="12" t="str">
        <ns0:f>IF(COUNT(K24:O24)=5,SUM(K24:O24),"")</ns0:f>
      </ns0:c>
      <ns0:c r="Q24" s="12" t="str">
        <ns0:f>IF(P24="","",IF(P24&gt;=DREAD_Guidelines!$B$13,"CRITICAL",IF(P24&gt;=DREAD_Guidelines!$B$14,"HIGH",IF(P24&gt;=DREAD_Guidelines!$B$15,"MEDIUM","LOW"))))</ns0:f>
      </ns0:c>
      <ns0:c r="R24" s="12" t="str">
        <ns0:f>IF(P24="","",RANK(P24,$P$5:$P$44,0))</ns0:f>
      </ns0:c>
      <ns0:c r="S24" s="13"/>
    </ns0:row>
    <ns0:row r="25" spans="1:19" ht="21.75" customHeight="1" ns3:dyDescent="0.3">
      <ns0:c r="A25" s="12">
        <ns0:v>21</ns0:v>
      </ns0:c>
      <ns0:c r="B25" s="13"/>
      <ns0:c r="C25" s="13"/>
      <ns0:c r="D25" s="14"/>
      <ns0:c r="E25" s="14"/>
      <ns0:c r="F25" s="14"/>
      <ns0:c r="G25" s="14"/>
      <ns0:c r="H25" s="14"/>
      <ns0:c r="I25" s="14"/>
      <ns0:c r="J25" s="12" t="str">
        <ns0:f>IF(COUNT(D25:I25)=0,"",SUM(D25:I25))</ns0:f>
      </ns0:c>
      <ns0:c r="K25" s="14"/>
      <ns0:c r="L25" s="14"/>
      <ns0:c r="M25" s="14"/>
      <ns0:c r="N25" s="14"/>
      <ns0:c r="O25" s="14"/>
      <ns0:c r="P25" s="12" t="str">
        <ns0:f>IF(COUNT(K25:O25)=5,SUM(K25:O25),"")</ns0:f>
      </ns0:c>
      <ns0:c r="Q25" s="12" t="str">
        <ns0:f>IF(P25="","",IF(P25&gt;=DREAD_Guidelines!$B$13,"CRITICAL",IF(P25&gt;=DREAD_Guidelines!$B$14,"HIGH",IF(P25&gt;=DREAD_Guidelines!$B$15,"MEDIUM","LOW"))))</ns0:f>
      </ns0:c>
      <ns0:c r="R25" s="12" t="str">
        <ns0:f>IF(P25="","",RANK(P25,$P$5:$P$44,0))</ns0:f>
      </ns0:c>
      <ns0:c r="S25" s="13"/>
    </ns0:row>
    <ns0:row r="26" spans="1:19" ht="21.75" customHeight="1" ns3:dyDescent="0.3">
      <ns0:c r="A26" s="12">
        <ns0:v>22</ns0:v>
      </ns0:c>
      <ns0:c r="B26" s="13"/>
      <ns0:c r="C26" s="13"/>
      <ns0:c r="D26" s="14"/>
      <ns0:c r="E26" s="14"/>
      <ns0:c r="F26" s="14"/>
      <ns0:c r="G26" s="14"/>
      <ns0:c r="H26" s="14"/>
      <ns0:c r="I26" s="14"/>
      <ns0:c r="J26" s="12" t="str">
        <ns0:f>IF(COUNT(D26:I26)=0,"",SUM(D26:I26))</ns0:f>
      </ns0:c>
      <ns0:c r="K26" s="14"/>
      <ns0:c r="L26" s="14"/>
      <ns0:c r="M26" s="14"/>
      <ns0:c r="N26" s="14"/>
      <ns0:c r="O26" s="14"/>
      <ns0:c r="P26" s="12" t="str">
        <ns0:f>IF(COUNT(K26:O26)=5,SUM(K26:O26),"")</ns0:f>
      </ns0:c>
      <ns0:c r="Q26" s="12" t="str">
        <ns0:f>IF(P26="","",IF(P26&gt;=DREAD_Guidelines!$B$13,"CRITICAL",IF(P26&gt;=DREAD_Guidelines!$B$14,"HIGH",IF(P26&gt;=DREAD_Guidelines!$B$15,"MEDIUM","LOW"))))</ns0:f>
      </ns0:c>
      <ns0:c r="R26" s="12" t="str">
        <ns0:f>IF(P26="","",RANK(P26,$P$5:$P$44,0))</ns0:f>
      </ns0:c>
      <ns0:c r="S26" s="13"/>
    </ns0:row>
    <ns0:row r="27" spans="1:19" ht="21.75" customHeight="1" ns3:dyDescent="0.3">
      <ns0:c r="A27" s="12">
        <ns0:v>23</ns0:v>
      </ns0:c>
      <ns0:c r="B27" s="13"/>
      <ns0:c r="C27" s="13"/>
      <ns0:c r="D27" s="14"/>
      <ns0:c r="E27" s="14"/>
      <ns0:c r="F27" s="14"/>
      <ns0:c r="G27" s="14"/>
      <ns0:c r="H27" s="14"/>
      <ns0:c r="I27" s="14"/>
      <ns0:c r="J27" s="12" t="str">
        <ns0:f>IF(COUNT(D27:I27)=0,"",SUM(D27:I27))</ns0:f>
      </ns0:c>
      <ns0:c r="K27" s="14"/>
      <ns0:c r="L27" s="14"/>
      <ns0:c r="M27" s="14"/>
      <ns0:c r="N27" s="14"/>
      <ns0:c r="O27" s="14"/>
      <ns0:c r="P27" s="12" t="str">
        <ns0:f>IF(COUNT(K27:O27)=5,SUM(K27:O27),"")</ns0:f>
      </ns0:c>
      <ns0:c r="Q27" s="12" t="str">
        <ns0:f>IF(P27="","",IF(P27&gt;=DREAD_Guidelines!$B$13,"CRITICAL",IF(P27&gt;=DREAD_Guidelines!$B$14,"HIGH",IF(P27&gt;=DREAD_Guidelines!$B$15,"MEDIUM","LOW"))))</ns0:f>
      </ns0:c>
      <ns0:c r="R27" s="12" t="str">
        <ns0:f>IF(P27="","",RANK(P27,$P$5:$P$44,0))</ns0:f>
      </ns0:c>
      <ns0:c r="S27" s="13"/>
    </ns0:row>
    <ns0:row r="28" spans="1:19" ht="21.75" customHeight="1" ns3:dyDescent="0.3">
      <ns0:c r="A28" s="12">
        <ns0:v>24</ns0:v>
      </ns0:c>
      <ns0:c r="B28" s="13"/>
      <ns0:c r="C28" s="13"/>
      <ns0:c r="D28" s="14"/>
      <ns0:c r="E28" s="14"/>
      <ns0:c r="F28" s="14"/>
      <ns0:c r="G28" s="14"/>
      <ns0:c r="H28" s="14"/>
      <ns0:c r="I28" s="14"/>
      <ns0:c r="J28" s="12" t="str">
        <ns0:f>IF(COUNT(D28:I28)=0,"",SUM(D28:I28))</ns0:f>
      </ns0:c>
      <ns0:c r="K28" s="14"/>
      <ns0:c r="L28" s="14"/>
      <ns0:c r="M28" s="14"/>
      <ns0:c r="N28" s="14"/>
      <ns0:c r="O28" s="14"/>
      <ns0:c r="P28" s="12" t="str">
        <ns0:f>IF(COUNT(K28:O28)=5,SUM(K28:O28),"")</ns0:f>
      </ns0:c>
      <ns0:c r="Q28" s="12" t="str">
        <ns0:f>IF(P28="","",IF(P28&gt;=DREAD_Guidelines!$B$13,"CRITICAL",IF(P28&gt;=DREAD_Guidelines!$B$14,"HIGH",IF(P28&gt;=DREAD_Guidelines!$B$15,"MEDIUM","LOW"))))</ns0:f>
      </ns0:c>
      <ns0:c r="R28" s="12" t="str">
        <ns0:f>IF(P28="","",RANK(P28,$P$5:$P$44,0))</ns0:f>
      </ns0:c>
      <ns0:c r="S28" s="13"/>
    </ns0:row>
    <ns0:row r="29" spans="1:19" ht="21.75" customHeight="1" ns3:dyDescent="0.3">
      <ns0:c r="A29" s="12">
        <ns0:v>25</ns0:v>
      </ns0:c>
      <ns0:c r="B29" s="13"/>
      <ns0:c r="C29" s="13"/>
      <ns0:c r="D29" s="14"/>
      <ns0:c r="E29" s="14"/>
      <ns0:c r="F29" s="14"/>
      <ns0:c r="G29" s="14"/>
      <ns0:c r="H29" s="14"/>
      <ns0:c r="I29" s="14"/>
      <ns0:c r="J29" s="12" t="str">
        <ns0:f>IF(COUNT(D29:I29)=0,"",SUM(D29:I29))</ns0:f>
      </ns0:c>
      <ns0:c r="K29" s="14"/>
      <ns0:c r="L29" s="14"/>
      <ns0:c r="M29" s="14"/>
      <ns0:c r="N29" s="14"/>
      <ns0:c r="O29" s="14"/>
      <ns0:c r="P29" s="12" t="str">
        <ns0:f>IF(COUNT(K29:O29)=5,SUM(K29:O29),"")</ns0:f>
      </ns0:c>
      <ns0:c r="Q29" s="12" t="str">
        <ns0:f>IF(P29="","",IF(P29&gt;=DREAD_Guidelines!$B$13,"CRITICAL",IF(P29&gt;=DREAD_Guidelines!$B$14,"HIGH",IF(P29&gt;=DREAD_Guidelines!$B$15,"MEDIUM","LOW"))))</ns0:f>
      </ns0:c>
      <ns0:c r="R29" s="12" t="str">
        <ns0:f>IF(P29="","",RANK(P29,$P$5:$P$44,0))</ns0:f>
      </ns0:c>
      <ns0:c r="S29" s="13"/>
    </ns0:row>
    <ns0:row r="30" spans="1:19" ht="21.75" customHeight="1" ns3:dyDescent="0.3">
      <ns0:c r="A30" s="12">
        <ns0:v>26</ns0:v>
      </ns0:c>
      <ns0:c r="B30" s="13"/>
      <ns0:c r="C30" s="13"/>
      <ns0:c r="D30" s="14"/>
      <ns0:c r="E30" s="14"/>
      <ns0:c r="F30" s="14"/>
      <ns0:c r="G30" s="14"/>
      <ns0:c r="H30" s="14"/>
      <ns0:c r="I30" s="14"/>
      <ns0:c r="J30" s="12" t="str">
        <ns0:f>IF(COUNT(D30:I30)=0,"",SUM(D30:I30))</ns0:f>
      </ns0:c>
      <ns0:c r="K30" s="14"/>
      <ns0:c r="L30" s="14"/>
      <ns0:c r="M30" s="14"/>
      <ns0:c r="N30" s="14"/>
      <ns0:c r="O30" s="14"/>
      <ns0:c r="P30" s="12" t="str">
        <ns0:f>IF(COUNT(K30:O30)=5,SUM(K30:O30),"")</ns0:f>
      </ns0:c>
      <ns0:c r="Q30" s="12" t="str">
        <ns0:f>IF(P30="","",IF(P30&gt;=DREAD_Guidelines!$B$13,"CRITICAL",IF(P30&gt;=DREAD_Guidelines!$B$14,"HIGH",IF(P30&gt;=DREAD_Guidelines!$B$15,"MEDIUM","LOW"))))</ns0:f>
      </ns0:c>
      <ns0:c r="R30" s="12" t="str">
        <ns0:f>IF(P30="","",RANK(P30,$P$5:$P$44,0))</ns0:f>
      </ns0:c>
      <ns0:c r="S30" s="13"/>
    </ns0:row>
    <ns0:row r="31" spans="1:19" ht="21.75" customHeight="1" ns3:dyDescent="0.3">
      <ns0:c r="A31" s="12">
        <ns0:v>27</ns0:v>
      </ns0:c>
      <ns0:c r="B31" s="13"/>
      <ns0:c r="C31" s="13"/>
      <ns0:c r="D31" s="14"/>
      <ns0:c r="E31" s="14"/>
      <ns0:c r="F31" s="14"/>
      <ns0:c r="G31" s="14"/>
      <ns0:c r="H31" s="14"/>
      <ns0:c r="I31" s="14"/>
      <ns0:c r="J31" s="12" t="str">
        <ns0:f>IF(COUNT(D31:I31)=0,"",SUM(D31:I31))</ns0:f>
      </ns0:c>
      <ns0:c r="K31" s="14"/>
      <ns0:c r="L31" s="14"/>
      <ns0:c r="M31" s="14"/>
      <ns0:c r="N31" s="14"/>
      <ns0:c r="O31" s="14"/>
      <ns0:c r="P31" s="12" t="str">
        <ns0:f>IF(COUNT(K31:O31)=5,SUM(K31:O31),"")</ns0:f>
      </ns0:c>
      <ns0:c r="Q31" s="12" t="str">
        <ns0:f>IF(P31="","",IF(P31&gt;=DREAD_Guidelines!$B$13,"CRITICAL",IF(P31&gt;=DREAD_Guidelines!$B$14,"HIGH",IF(P31&gt;=DREAD_Guidelines!$B$15,"MEDIUM","LOW"))))</ns0:f>
      </ns0:c>
      <ns0:c r="R31" s="12" t="str">
        <ns0:f>IF(P31="","",RANK(P31,$P$5:$P$44,0))</ns0:f>
      </ns0:c>
      <ns0:c r="S31" s="13"/>
    </ns0:row>
    <ns0:row r="32" spans="1:19" ht="21.75" customHeight="1" ns3:dyDescent="0.3">
      <ns0:c r="A32" s="12">
        <ns0:v>28</ns0:v>
      </ns0:c>
      <ns0:c r="B32" s="13"/>
      <ns0:c r="C32" s="13"/>
      <ns0:c r="D32" s="14"/>
      <ns0:c r="E32" s="14"/>
      <ns0:c r="F32" s="14"/>
      <ns0:c r="G32" s="14"/>
      <ns0:c r="H32" s="14"/>
      <ns0:c r="I32" s="14"/>
      <ns0:c r="J32" s="12" t="str">
        <ns0:f>IF(COUNT(D32:I32)=0,"",SUM(D32:I32))</ns0:f>
      </ns0:c>
      <ns0:c r="K32" s="14"/>
      <ns0:c r="L32" s="14"/>
      <ns0:c r="M32" s="14"/>
      <ns0:c r="N32" s="14"/>
      <ns0:c r="O32" s="14"/>
      <ns0:c r="P32" s="12" t="str">
        <ns0:f>IF(COUNT(K32:O32)=5,SUM(K32:O32),"")</ns0:f>
      </ns0:c>
      <ns0:c r="Q32" s="12" t="str">
        <ns0:f>IF(P32="","",IF(P32&gt;=DREAD_Guidelines!$B$13,"CRITICAL",IF(P32&gt;=DREAD_Guidelines!$B$14,"HIGH",IF(P32&gt;=DREAD_Guidelines!$B$15,"MEDIUM","LOW"))))</ns0:f>
      </ns0:c>
      <ns0:c r="R32" s="12" t="str">
        <ns0:f>IF(P32="","",RANK(P32,$P$5:$P$44,0))</ns0:f>
      </ns0:c>
      <ns0:c r="S32" s="13"/>
    </ns0:row>
    <ns0:row r="33" spans="1:19" ht="21.75" customHeight="1" ns3:dyDescent="0.3">
      <ns0:c r="A33" s="12">
        <ns0:v>29</ns0:v>
      </ns0:c>
      <ns0:c r="B33" s="13"/>
      <ns0:c r="C33" s="13"/>
      <ns0:c r="D33" s="14"/>
      <ns0:c r="E33" s="14"/>
      <ns0:c r="F33" s="14"/>
      <ns0:c r="G33" s="14"/>
      <ns0:c r="H33" s="14"/>
      <ns0:c r="I33" s="14"/>
      <ns0:c r="J33" s="12" t="str">
        <ns0:f>IF(COUNT(D33:I33)=0,"",SUM(D33:I33))</ns0:f>
      </ns0:c>
      <ns0:c r="K33" s="14"/>
      <ns0:c r="L33" s="14"/>
      <ns0:c r="M33" s="14"/>
      <ns0:c r="N33" s="14"/>
      <ns0:c r="O33" s="14"/>
      <ns0:c r="P33" s="12" t="str">
        <ns0:f>IF(COUNT(K33:O33)=5,SUM(K33:O33),"")</ns0:f>
      </ns0:c>
      <ns0:c r="Q33" s="12" t="str">
        <ns0:f>IF(P33="","",IF(P33&gt;=DREAD_Guidelines!$B$13,"CRITICAL",IF(P33&gt;=DREAD_Guidelines!$B$14,"HIGH",IF(P33&gt;=DREAD_Guidelines!$B$15,"MEDIUM","LOW"))))</ns0:f>
      </ns0:c>
      <ns0:c r="R33" s="12" t="str">
        <ns0:f>IF(P33="","",RANK(P33,$P$5:$P$44,0))</ns0:f>
      </ns0:c>
      <ns0:c r="S33" s="13"/>
    </ns0:row>
    <ns0:row r="34" spans="1:19" ht="21.75" customHeight="1" ns3:dyDescent="0.3">
      <ns0:c r="A34" s="12">
        <ns0:v>30</ns0:v>
      </ns0:c>
      <ns0:c r="B34" s="13"/>
      <ns0:c r="C34" s="13"/>
      <ns0:c r="D34" s="14"/>
      <ns0:c r="E34" s="14"/>
      <ns0:c r="F34" s="14"/>
      <ns0:c r="G34" s="14"/>
      <ns0:c r="H34" s="14"/>
      <ns0:c r="I34" s="14"/>
      <ns0:c r="J34" s="12" t="str">
        <ns0:f>IF(COUNT(D34:I34)=0,"",SUM(D34:I34))</ns0:f>
      </ns0:c>
      <ns0:c r="K34" s="14"/>
      <ns0:c r="L34" s="14"/>
      <ns0:c r="M34" s="14"/>
      <ns0:c r="N34" s="14"/>
      <ns0:c r="O34" s="14"/>
      <ns0:c r="P34" s="12" t="str">
        <ns0:f>IF(COUNT(K34:O34)=5,SUM(K34:O34),"")</ns0:f>
      </ns0:c>
      <ns0:c r="Q34" s="12" t="str">
        <ns0:f>IF(P34="","",IF(P34&gt;=DREAD_Guidelines!$B$13,"CRITICAL",IF(P34&gt;=DREAD_Guidelines!$B$14,"HIGH",IF(P34&gt;=DREAD_Guidelines!$B$15,"MEDIUM","LOW"))))</ns0:f>
      </ns0:c>
      <ns0:c r="R34" s="12" t="str">
        <ns0:f>IF(P34="","",RANK(P34,$P$5:$P$44,0))</ns0:f>
      </ns0:c>
      <ns0:c r="S34" s="13"/>
    </ns0:row>
    <ns0:row r="35" spans="1:19" ht="21.75" customHeight="1" ns3:dyDescent="0.3">
      <ns0:c r="A35" s="12">
        <ns0:v>31</ns0:v>
      </ns0:c>
      <ns0:c r="B35" s="13"/>
      <ns0:c r="C35" s="13"/>
      <ns0:c r="D35" s="14"/>
      <ns0:c r="E35" s="14"/>
      <ns0:c r="F35" s="14"/>
      <ns0:c r="G35" s="14"/>
      <ns0:c r="H35" s="14"/>
      <ns0:c r="I35" s="14"/>
      <ns0:c r="J35" s="12" t="str">
        <ns0:f>IF(COUNT(D35:I35)=0,"",SUM(D35:I35))</ns0:f>
      </ns0:c>
      <ns0:c r="K35" s="14"/>
      <ns0:c r="L35" s="14"/>
      <ns0:c r="M35" s="14"/>
      <ns0:c r="N35" s="14"/>
      <ns0:c r="O35" s="14"/>
      <ns0:c r="P35" s="12" t="str">
        <ns0:f>IF(COUNT(K35:O35)=5,SUM(K35:O35),"")</ns0:f>
      </ns0:c>
      <ns0:c r="Q35" s="12" t="str">
        <ns0:f>IF(P35="","",IF(P35&gt;=DREAD_Guidelines!$B$13,"CRITICAL",IF(P35&gt;=DREAD_Guidelines!$B$14,"HIGH",IF(P35&gt;=DREAD_Guidelines!$B$15,"MEDIUM","LOW"))))</ns0:f>
      </ns0:c>
      <ns0:c r="R35" s="12" t="str">
        <ns0:f>IF(P35="","",RANK(P35,$P$5:$P$44,0))</ns0:f>
      </ns0:c>
      <ns0:c r="S35" s="13"/>
    </ns0:row>
    <ns0:row r="36" spans="1:19" ht="21.75" customHeight="1" ns3:dyDescent="0.3">
      <ns0:c r="A36" s="12">
        <ns0:v>32</ns0:v>
      </ns0:c>
      <ns0:c r="B36" s="13"/>
      <ns0:c r="C36" s="13"/>
      <ns0:c r="D36" s="14"/>
      <ns0:c r="E36" s="14"/>
      <ns0:c r="F36" s="14"/>
      <ns0:c r="G36" s="14"/>
      <ns0:c r="H36" s="14"/>
      <ns0:c r="I36" s="14"/>
      <ns0:c r="J36" s="12" t="str">
        <ns0:f>IF(COUNT(D36:I36)=0,"",SUM(D36:I36))</ns0:f>
      </ns0:c>
      <ns0:c r="K36" s="14"/>
      <ns0:c r="L36" s="14"/>
      <ns0:c r="M36" s="14"/>
      <ns0:c r="N36" s="14"/>
      <ns0:c r="O36" s="14"/>
      <ns0:c r="P36" s="12" t="str">
        <ns0:f>IF(COUNT(K36:O36)=5,SUM(K36:O36),"")</ns0:f>
      </ns0:c>
      <ns0:c r="Q36" s="12" t="str">
        <ns0:f>IF(P36="","",IF(P36&gt;=DREAD_Guidelines!$B$13,"CRITICAL",IF(P36&gt;=DREAD_Guidelines!$B$14,"HIGH",IF(P36&gt;=DREAD_Guidelines!$B$15,"MEDIUM","LOW"))))</ns0:f>
      </ns0:c>
      <ns0:c r="R36" s="12" t="str">
        <ns0:f>IF(P36="","",RANK(P36,$P$5:$P$44,0))</ns0:f>
      </ns0:c>
      <ns0:c r="S36" s="13"/>
    </ns0:row>
    <ns0:row r="37" spans="1:19" ht="21.75" customHeight="1" ns3:dyDescent="0.3">
      <ns0:c r="A37" s="12">
        <ns0:v>33</ns0:v>
      </ns0:c>
      <ns0:c r="B37" s="13"/>
      <ns0:c r="C37" s="13"/>
      <ns0:c r="D37" s="14"/>
      <ns0:c r="E37" s="14"/>
      <ns0:c r="F37" s="14"/>
      <ns0:c r="G37" s="14"/>
      <ns0:c r="H37" s="14"/>
      <ns0:c r="I37" s="14"/>
      <ns0:c r="J37" s="12" t="str">
        <ns0:f>IF(COUNT(D37:I37)=0,"",SUM(D37:I37))</ns0:f>
      </ns0:c>
      <ns0:c r="K37" s="14"/>
      <ns0:c r="L37" s="14"/>
      <ns0:c r="M37" s="14"/>
      <ns0:c r="N37" s="14"/>
      <ns0:c r="O37" s="14"/>
      <ns0:c r="P37" s="12" t="str">
        <ns0:f>IF(COUNT(K37:O37)=5,SUM(K37:O37),"")</ns0:f>
      </ns0:c>
      <ns0:c r="Q37" s="12" t="str">
        <ns0:f>IF(P37="","",IF(P37&gt;=DREAD_Guidelines!$B$13,"CRITICAL",IF(P37&gt;=DREAD_Guidelines!$B$14,"HIGH",IF(P37&gt;=DREAD_Guidelines!$B$15,"MEDIUM","LOW"))))</ns0:f>
      </ns0:c>
      <ns0:c r="R37" s="12" t="str">
        <ns0:f>IF(P37="","",RANK(P37,$P$5:$P$44,0))</ns0:f>
      </ns0:c>
      <ns0:c r="S37" s="13"/>
    </ns0:row>
    <ns0:row r="38" spans="1:19" ht="21.75" customHeight="1" ns3:dyDescent="0.3">
      <ns0:c r="A38" s="12">
        <ns0:v>34</ns0:v>
      </ns0:c>
      <ns0:c r="B38" s="13"/>
      <ns0:c r="C38" s="13"/>
      <ns0:c r="D38" s="14"/>
      <ns0:c r="E38" s="14"/>
      <ns0:c r="F38" s="14"/>
      <ns0:c r="G38" s="14"/>
      <ns0:c r="H38" s="14"/>
      <ns0:c r="I38" s="14"/>
      <ns0:c r="J38" s="12" t="str">
        <ns0:f>IF(COUNT(D38:I38)=0,"",SUM(D38:I38))</ns0:f>
      </ns0:c>
      <ns0:c r="K38" s="14"/>
      <ns0:c r="L38" s="14"/>
      <ns0:c r="M38" s="14"/>
      <ns0:c r="N38" s="14"/>
      <ns0:c r="O38" s="14"/>
      <ns0:c r="P38" s="12" t="str">
        <ns0:f>IF(COUNT(K38:O38)=5,SUM(K38:O38),"")</ns0:f>
      </ns0:c>
      <ns0:c r="Q38" s="12" t="str">
        <ns0:f>IF(P38="","",IF(P38&gt;=DREAD_Guidelines!$B$13,"CRITICAL",IF(P38&gt;=DREAD_Guidelines!$B$14,"HIGH",IF(P38&gt;=DREAD_Guidelines!$B$15,"MEDIUM","LOW"))))</ns0:f>
      </ns0:c>
      <ns0:c r="R38" s="12" t="str">
        <ns0:f>IF(P38="","",RANK(P38,$P$5:$P$44,0))</ns0:f>
      </ns0:c>
      <ns0:c r="S38" s="13"/>
    </ns0:row>
    <ns0:row r="39" spans="1:19" ht="21.75" customHeight="1" ns3:dyDescent="0.3">
      <ns0:c r="A39" s="12">
        <ns0:v>35</ns0:v>
      </ns0:c>
      <ns0:c r="B39" s="13"/>
      <ns0:c r="C39" s="13"/>
      <ns0:c r="D39" s="14"/>
      <ns0:c r="E39" s="14"/>
      <ns0:c r="F39" s="14"/>
      <ns0:c r="G39" s="14"/>
      <ns0:c r="H39" s="14"/>
      <ns0:c r="I39" s="14"/>
      <ns0:c r="J39" s="12" t="str">
        <ns0:f>IF(COUNT(D39:I39)=0,"",SUM(D39:I39))</ns0:f>
      </ns0:c>
      <ns0:c r="K39" s="14"/>
      <ns0:c r="L39" s="14"/>
      <ns0:c r="M39" s="14"/>
      <ns0:c r="N39" s="14"/>
      <ns0:c r="O39" s="14"/>
      <ns0:c r="P39" s="12" t="str">
        <ns0:f>IF(COUNT(K39:O39)=5,SUM(K39:O39),"")</ns0:f>
      </ns0:c>
      <ns0:c r="Q39" s="12" t="str">
        <ns0:f>IF(P39="","",IF(P39&gt;=DREAD_Guidelines!$B$13,"CRITICAL",IF(P39&gt;=DREAD_Guidelines!$B$14,"HIGH",IF(P39&gt;=DREAD_Guidelines!$B$15,"MEDIUM","LOW"))))</ns0:f>
      </ns0:c>
      <ns0:c r="R39" s="12" t="str">
        <ns0:f>IF(P39="","",RANK(P39,$P$5:$P$44,0))</ns0:f>
      </ns0:c>
      <ns0:c r="S39" s="13"/>
    </ns0:row>
    <ns0:row r="40" spans="1:19" ht="21.75" customHeight="1" ns3:dyDescent="0.3">
      <ns0:c r="A40" s="12">
        <ns0:v>36</ns0:v>
      </ns0:c>
      <ns0:c r="B40" s="13"/>
      <ns0:c r="C40" s="13"/>
      <ns0:c r="D40" s="14"/>
      <ns0:c r="E40" s="14"/>
      <ns0:c r="F40" s="14"/>
      <ns0:c r="G40" s="14"/>
      <ns0:c r="H40" s="14"/>
      <ns0:c r="I40" s="14"/>
      <ns0:c r="J40" s="12" t="str">
        <ns0:f>IF(COUNT(D40:I40)=0,"",SUM(D40:I40))</ns0:f>
      </ns0:c>
      <ns0:c r="K40" s="14"/>
      <ns0:c r="L40" s="14"/>
      <ns0:c r="M40" s="14"/>
      <ns0:c r="N40" s="14"/>
      <ns0:c r="O40" s="14"/>
      <ns0:c r="P40" s="12" t="str">
        <ns0:f>IF(COUNT(K40:O40)=5,SUM(K40:O40),"")</ns0:f>
      </ns0:c>
      <ns0:c r="Q40" s="12" t="str">
        <ns0:f>IF(P40="","",IF(P40&gt;=DREAD_Guidelines!$B$13,"CRITICAL",IF(P40&gt;=DREAD_Guidelines!$B$14,"HIGH",IF(P40&gt;=DREAD_Guidelines!$B$15,"MEDIUM","LOW"))))</ns0:f>
      </ns0:c>
      <ns0:c r="R40" s="12" t="str">
        <ns0:f>IF(P40="","",RANK(P40,$P$5:$P$44,0))</ns0:f>
      </ns0:c>
      <ns0:c r="S40" s="13"/>
    </ns0:row>
    <ns0:row r="41" spans="1:19" ht="21.75" customHeight="1" ns3:dyDescent="0.3">
      <ns0:c r="A41" s="12">
        <ns0:v>37</ns0:v>
      </ns0:c>
      <ns0:c r="B41" s="13"/>
      <ns0:c r="C41" s="13"/>
      <ns0:c r="D41" s="14"/>
      <ns0:c r="E41" s="14"/>
      <ns0:c r="F41" s="14"/>
      <ns0:c r="G41" s="14"/>
      <ns0:c r="H41" s="14"/>
      <ns0:c r="I41" s="14"/>
      <ns0:c r="J41" s="12" t="str">
        <ns0:f>IF(COUNT(D41:I41)=0,"",SUM(D41:I41))</ns0:f>
      </ns0:c>
      <ns0:c r="K41" s="14"/>
      <ns0:c r="L41" s="14"/>
      <ns0:c r="M41" s="14"/>
      <ns0:c r="N41" s="14"/>
      <ns0:c r="O41" s="14"/>
      <ns0:c r="P41" s="12" t="str">
        <ns0:f>IF(COUNT(K41:O41)=5,SUM(K41:O41),"")</ns0:f>
      </ns0:c>
      <ns0:c r="Q41" s="12" t="str">
        <ns0:f>IF(P41="","",IF(P41&gt;=DREAD_Guidelines!$B$13,"CRITICAL",IF(P41&gt;=DREAD_Guidelines!$B$14,"HIGH",IF(P41&gt;=DREAD_Guidelines!$B$15,"MEDIUM","LOW"))))</ns0:f>
      </ns0:c>
      <ns0:c r="R41" s="12" t="str">
        <ns0:f>IF(P41="","",RANK(P41,$P$5:$P$44,0))</ns0:f>
      </ns0:c>
      <ns0:c r="S41" s="13"/>
    </ns0:row>
    <ns0:row r="42" spans="1:19" ht="21.75" customHeight="1" ns3:dyDescent="0.3">
      <ns0:c r="A42" s="12">
        <ns0:v>38</ns0:v>
      </ns0:c>
      <ns0:c r="B42" s="13"/>
      <ns0:c r="C42" s="13"/>
      <ns0:c r="D42" s="14"/>
      <ns0:c r="E42" s="14"/>
      <ns0:c r="F42" s="14"/>
      <ns0:c r="G42" s="14"/>
      <ns0:c r="H42" s="14"/>
      <ns0:c r="I42" s="14"/>
      <ns0:c r="J42" s="12" t="str">
        <ns0:f>IF(COUNT(D42:I42)=0,"",SUM(D42:I42))</ns0:f>
      </ns0:c>
      <ns0:c r="K42" s="14"/>
      <ns0:c r="L42" s="14"/>
      <ns0:c r="M42" s="14"/>
      <ns0:c r="N42" s="14"/>
      <ns0:c r="O42" s="14"/>
      <ns0:c r="P42" s="12" t="str">
        <ns0:f>IF(COUNT(K42:O42)=5,SUM(K42:O42),"")</ns0:f>
      </ns0:c>
      <ns0:c r="Q42" s="12" t="str">
        <ns0:f>IF(P42="","",IF(P42&gt;=DREAD_Guidelines!$B$13,"CRITICAL",IF(P42&gt;=DREAD_Guidelines!$B$14,"HIGH",IF(P42&gt;=DREAD_Guidelines!$B$15,"MEDIUM","LOW"))))</ns0:f>
      </ns0:c>
      <ns0:c r="R42" s="12" t="str">
        <ns0:f>IF(P42="","",RANK(P42,$P$5:$P$44,0))</ns0:f>
      </ns0:c>
      <ns0:c r="S42" s="13"/>
    </ns0:row>
    <ns0:row r="43" spans="1:19" ht="21.75" customHeight="1" ns3:dyDescent="0.3">
      <ns0:c r="A43" s="12">
        <ns0:v>39</ns0:v>
      </ns0:c>
      <ns0:c r="B43" s="13"/>
      <ns0:c r="C43" s="13"/>
      <ns0:c r="D43" s="14"/>
      <ns0:c r="E43" s="14"/>
      <ns0:c r="F43" s="14"/>
      <ns0:c r="G43" s="14"/>
      <ns0:c r="H43" s="14"/>
      <ns0:c r="I43" s="14"/>
      <ns0:c r="J43" s="12" t="str">
        <ns0:f>IF(COUNT(D43:I43)=0,"",SUM(D43:I43))</ns0:f>
      </ns0:c>
      <ns0:c r="K43" s="14"/>
      <ns0:c r="L43" s="14"/>
      <ns0:c r="M43" s="14"/>
      <ns0:c r="N43" s="14"/>
      <ns0:c r="O43" s="14"/>
      <ns0:c r="P43" s="12" t="str">
        <ns0:f>IF(COUNT(K43:O43)=5,SUM(K43:O43),"")</ns0:f>
      </ns0:c>
      <ns0:c r="Q43" s="12" t="str">
        <ns0:f>IF(P43="","",IF(P43&gt;=DREAD_Guidelines!$B$13,"CRITICAL",IF(P43&gt;=DREAD_Guidelines!$B$14,"HIGH",IF(P43&gt;=DREAD_Guidelines!$B$15,"MEDIUM","LOW"))))</ns0:f>
      </ns0:c>
      <ns0:c r="R43" s="12" t="str">
        <ns0:f>IF(P43="","",RANK(P43,$P$5:$P$44,0))</ns0:f>
      </ns0:c>
      <ns0:c r="S43" s="13"/>
    </ns0:row>
    <ns0:row r="44" spans="1:19" ht="21.75" customHeight="1" ns3:dyDescent="0.3">
      <ns0:c r="A44" s="12">
        <ns0:v>40</ns0:v>
      </ns0:c>
      <ns0:c r="B44" s="13"/>
      <ns0:c r="C44" s="13"/>
      <ns0:c r="D44" s="14"/>
      <ns0:c r="E44" s="14"/>
      <ns0:c r="F44" s="14"/>
      <ns0:c r="G44" s="14"/>
      <ns0:c r="H44" s="14"/>
      <ns0:c r="I44" s="14"/>
      <ns0:c r="J44" s="12" t="str">
        <ns0:f>IF(COUNT(D44:I44)=0,"",SUM(D44:I44))</ns0:f>
      </ns0:c>
      <ns0:c r="K44" s="14"/>
      <ns0:c r="L44" s="14"/>
      <ns0:c r="M44" s="14"/>
      <ns0:c r="N44" s="14"/>
      <ns0:c r="O44" s="14"/>
      <ns0:c r="P44" s="12" t="str">
        <ns0:f>IF(COUNT(K44:O44)=5,SUM(K44:O44),"")</ns0:f>
      </ns0:c>
      <ns0:c r="Q44" s="12" t="str">
        <ns0:f>IF(P44="","",IF(P44&gt;=DREAD_Guidelines!$B$13,"CRITICAL",IF(P44&gt;=DREAD_Guidelines!$B$14,"HIGH",IF(P44&gt;=DREAD_Guidelines!$B$15,"MEDIUM","LOW"))))</ns0:f>
      </ns0:c>
      <ns0:c r="R44" s="12" t="str">
        <ns0:f>IF(P44="","",RANK(P44,$P$5:$P$44,0))</ns0:f>
      </ns0:c>
      <ns0:c r="S44" s="13"/>
    </ns0:row>
  </ns0:sheetData>
  <ns0:autoFilter ref="A4:S44" ns2:uid="{00000000-0009-0000-0000-000001000000}"/>
  <ns0:mergeCells count="6">
    <ns0:mergeCell ref="A1:S1"/>
    <ns0:mergeCell ref="A2:S2"/>
    <ns0:mergeCell ref="A3:C3"/>
    <ns0:mergeCell ref="D3:J3"/>
    <ns0:mergeCell ref="K3:O3"/>
    <ns0:mergeCell ref="P3:R3"/>
  </ns0:mergeCells>
  <ns0:conditionalFormatting sqref="D5:I44">
    <ns0:cfRule type="cellIs" dxfId="4" priority="6" operator="equal">
      <ns0:formula>1</ns0:formula>
    </ns0:cfRule>
  </ns0:conditionalFormatting>
  <ns0:conditionalFormatting sqref="K5:O44">
    <ns0:cfRule type="colorScale" priority="7">
      <ns0:colorScale>
        <ns0:cfvo type="num" val="0"/>
        <ns0:cfvo type="num" val="10"/>
        <ns0:color rgb="FFFFF8D6"/>
        <ns0:color rgb="FFF4B183"/>
      </ns0:colorScale>
    </ns0:cfRule>
  </ns0:conditionalFormatting>
  <ns0:conditionalFormatting sqref="Q5:Q44">
    <ns0:cfRule type="cellIs" dxfId="3" priority="2" operator="equal">
      <ns0:formula>"CRITICAL"</ns0:formula>
    </ns0:cfRule>
    <ns0:cfRule type="cellIs" dxfId="2" priority="3" operator="equal">
      <ns0:formula>"HIGH"</ns0:formula>
    </ns0:cfRule>
    <ns0:cfRule type="cellIs" dxfId="1" priority="4" operator="equal">
      <ns0:formula>"MEDIUM"</ns0:formula>
    </ns0:cfRule>
    <ns0:cfRule type="cellIs" dxfId="0" priority="5" operator="equal">
      <ns0:formula>"LOW"</ns0:formula>
    </ns0:cfRule>
  </ns0:conditionalFormatting>
  <ns0:dataValidations count="2">
    <ns0:dataValidation type="list" allowBlank="1" showInputMessage="1" showErrorMessage="1" errorTitle="Input tidak valid" error="Isi 1 (berlaku) atau 0 (tidak)." promptTitle="STRIDE" prompt="1 = berlaku, 0 = tidak" sqref="D5:I44" ns2:uid="{00000000-0002-0000-0100-000000000000}">
      <ns0:formula1>"0,1"</ns0:formula1>
      <ns0:formula2>0</ns0:formula2>
    </ns0:dataValidation>
    <ns0:dataValidation type="whole" allowBlank="1" showInputMessage="1" showErrorMessage="1" errorTitle="Skor tidak valid" error="Isi bilangan bulat 0–10." promptTitle="DREAD" prompt="Skor 0–10 (lihat DREAD_Guidelines)" sqref="K5:O44" ns2:uid="{00000000-0002-0000-0100-000001000000}">
      <ns0:formula1>0</ns0:formula1>
      <ns0:formula2>10</ns0:formula2>
    </ns0:dataValidation>
  </ns0:dataValidations>
  <ns0:pageMargins left="0.75" right="0.75" top="1" bottom="1" header="0.511811023622047" footer="0.511811023622047"/>
  <ns0:pageSetup fitToHeight="0" orientation="landscape" horizontalDpi="300" verticalDpi="300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200-000000000000}">
  <ns0:dimension ref="B2:C22"/>
  <ns0:sheetViews>
    <ns0:sheetView showGridLines="0" zoomScaleNormal="100" workbookViewId="0"/>
  </ns0:sheetViews>
  <ns0:sheetFormatPr defaultColWidth="8.6640625" defaultRowHeight="14.4" ns3:dyDescent="0.3"/>
  <ns0:cols>
    <ns0:col min="1" max="1" width="3" customWidth="1"/>
    <ns0:col min="2" max="2" width="30" customWidth="1"/>
    <ns0:col min="3" max="3" width="34" customWidth="1"/>
  </ns0:cols>
  <ns0:sheetData>
    <ns0:row r="2" spans="2:3" ht="22.8" ns3:dyDescent="0.4">
      <ns0:c r="B2" s="15" t="s">
        <ns0:v>47</ns0:v>
      </ns0:c>
    </ns0:row>
    <ns0:row r="4" spans="2:3" ns3:dyDescent="0.3">
      <ns0:c r="B4" s="4" t="s">
        <ns0:v>44</ns0:v>
      </ns0:c>
      <ns0:c r="C4" s="4" t="s">
        <ns0:v>48</ns0:v>
      </ns0:c>
    </ns0:row>
    <ns0:row r="5" spans="2:3" ns3:dyDescent="0.3">
      <ns0:c r="B5" s="16" t="s">
        <ns0:v>49</ns0:v>
      </ns0:c>
      <ns0:c r="C5" s="17">
        <ns0:f>COUNTIF(STRIDE_DREAD_Template!$Q$5:$Q$44,B5)</ns0:f>
        <ns0:v>3</ns0:v>
      </ns0:c>
    </ns0:row>
    <ns0:row r="6" spans="2:3" ns3:dyDescent="0.3">
      <ns0:c r="B6" s="18" t="s">
        <ns0:v>50</ns0:v>
      </ns0:c>
      <ns0:c r="C6" s="17">
        <ns0:f>COUNTIF(STRIDE_DREAD_Template!$Q$5:$Q$44,B6)</ns0:f>
        <ns0:v>7</ns0:v>
      </ns0:c>
    </ns0:row>
    <ns0:row r="7" spans="2:3" ns3:dyDescent="0.3">
      <ns0:c r="B7" s="19" t="s">
        <ns0:v>51</ns0:v>
      </ns0:c>
      <ns0:c r="C7" s="17">
        <ns0:f>COUNTIF(STRIDE_DREAD_Template!$Q$5:$Q$44,B7)</ns0:f>
        <ns0:v>0</ns0:v>
      </ns0:c>
    </ns0:row>
    <ns0:row r="8" spans="2:3" ns3:dyDescent="0.3">
      <ns0:c r="B8" s="20" t="s">
        <ns0:v>52</ns0:v>
      </ns0:c>
      <ns0:c r="C8" s="17">
        <ns0:f>COUNTIF(STRIDE_DREAD_Template!$Q$5:$Q$44,B8)</ns0:f>
        <ns0:v>0</ns0:v>
      </ns0:c>
    </ns0:row>
    <ns0:row r="9" spans="2:3" ns3:dyDescent="0.3">
      <ns0:c r="B9" s="21" t="s">
        <ns0:v>53</ns0:v>
      </ns0:c>
      <ns0:c r="C9" s="21">
        <ns0:f>SUM(C5:C8)</ns0:f>
        <ns0:v>10</ns0:v>
      </ns0:c>
    </ns0:row>
    <ns0:row r="11" spans="2:3" ns3:dyDescent="0.3">
      <ns0:c r="B11" s="4" t="s">
        <ns0:v>54</ns0:v>
      </ns0:c>
      <ns0:c r="C11" s="4" t="s">
        <ns0:v>48</ns0:v>
      </ns0:c>
    </ns0:row>
    <ns0:row r="12" spans="2:3" ns3:dyDescent="0.3">
      <ns0:c r="B12" s="22" t="s">
        <ns0:v>55</ns0:v>
      </ns0:c>
      <ns0:c r="C12" s="17">
        <ns0:f>SUM(STRIDE_DREAD_Template!D5:D44)</ns0:f>
        <ns0:v>5</ns0:v>
      </ns0:c>
    </ns0:row>
    <ns0:row r="13" spans="2:3" ns3:dyDescent="0.3">
      <ns0:c r="B13" s="22" t="s">
        <ns0:v>56</ns0:v>
      </ns0:c>
      <ns0:c r="C13" s="17">
        <ns0:f>SUM(STRIDE_DREAD_Template!E5:E44)</ns0:f>
        <ns0:v>6</ns0:v>
      </ns0:c>
    </ns0:row>
    <ns0:row r="14" spans="2:3" ns3:dyDescent="0.3">
      <ns0:c r="B14" s="22" t="s">
        <ns0:v>57</ns0:v>
      </ns0:c>
      <ns0:c r="C14" s="17">
        <ns0:f>SUM(STRIDE_DREAD_Template!F5:F44)</ns0:f>
        <ns0:v>3</ns0:v>
      </ns0:c>
    </ns0:row>
    <ns0:row r="15" spans="2:3" ns3:dyDescent="0.3">
      <ns0:c r="B15" s="22" t="s">
        <ns0:v>58</ns0:v>
      </ns0:c>
      <ns0:c r="C15" s="17">
        <ns0:f>SUM(STRIDE_DREAD_Template!G5:G44)</ns0:f>
        <ns0:v>6</ns0:v>
      </ns0:c>
    </ns0:row>
    <ns0:row r="16" spans="2:3" ns3:dyDescent="0.3">
      <ns0:c r="B16" s="22" t="s">
        <ns0:v>59</ns0:v>
      </ns0:c>
      <ns0:c r="C16" s="17">
        <ns0:f>SUM(STRIDE_DREAD_Template!H5:H44)</ns0:f>
        <ns0:v>2</ns0:v>
      </ns0:c>
    </ns0:row>
    <ns0:row r="17" spans="2:3" ns3:dyDescent="0.3">
      <ns0:c r="B17" s="22" t="s">
        <ns0:v>60</ns0:v>
      </ns0:c>
      <ns0:c r="C17" s="17">
        <ns0:f>SUM(STRIDE_DREAD_Template!I5:I44)</ns0:f>
        <ns0:v>5</ns0:v>
      </ns0:c>
    </ns0:row>
    <ns0:row r="19" spans="2:3" ns3:dyDescent="0.3">
      <ns0:c r="B19" s="4" t="s">
        <ns0:v>61</ns0:v>
      </ns0:c>
      <ns0:c r="C19" s="4" t="s">
        <ns0:v>62</ns0:v>
      </ns0:c>
    </ns0:row>
    <ns0:row r="20" spans="2:3" ns3:dyDescent="0.3">
      <ns0:c r="B20" s="22" t="s">
        <ns0:v>63</ns0:v>
      </ns0:c>
      <ns0:c r="C20" s="23">
        <ns0:f>IFERROR(AVERAGE(STRIDE_DREAD_Template!P5:P44),0)</ns0:f>
        <ns0:v>37.5</ns0:v>
      </ns0:c>
    </ns0:row>
    <ns0:row r="21" spans="2:3" ns3:dyDescent="0.3">
      <ns0:c r="B21" s="22" t="s">
        <ns0:v>64</ns0:v>
      </ns0:c>
      <ns0:c r="C21" s="24">
        <ns0:f>IF(COUNT(STRIDE_DREAD_Template!P5:P44)=0,0,MAX(STRIDE_DREAD_Template!P5:P44))</ns0:f>
        <ns0:v>43</ns0:v>
      </ns0:c>
    </ns0:row>
    <ns0:row r="22" spans="2:3" ns3:dyDescent="0.3">
      <ns0:c r="B22" s="22" t="s">
        <ns0:v>65</ns0:v>
      </ns0:c>
      <ns0:c r="C22" s="25" t="s">
        <ns0:f>IFERROR(INDEX(STRIDE_DREAD_Template!C5:C44,MATCH(1,STRIDE_DREAD_Template!R5:R44,0)),"-")</ns0:f>
        <ns0:v>155</ns0:v>
      </ns0:c>
    </ns0:row>
  </ns0:sheetData>
  <ns0:pageMargins left="0.75" right="0.75" top="1" bottom="1" header="0.511811023622047" footer="0.511811023622047"/>
  <ns0:pageSetup paperSize="9" orientation="portrait" horizontalDpi="300" verticalDpi="300"/>
  <ns0:drawing ns4:id="rId1"/>
</ns0: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38" customWidth="1"/>
    <col min="3" max="3" width="40" customWidth="1"/>
    <col min="4" max="4" width="28" customWidth="1"/>
    <col min="5" max="5" width="42" customWidth="1"/>
  </cols>
  <sheetData>
    <row r="1" spans="1:5" ht="21" x14ac:dyDescent="0.4">
      <c r="A1" s="26" t="s">
        <v>66</v>
      </c>
    </row>
    <row r="3" spans="1:5" ht="27.6" x14ac:dyDescent="0.3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</row>
    <row r="4" spans="1:5" ht="33.75" customHeight="1" x14ac:dyDescent="0.3">
      <c r="A4" s="27" t="s">
        <v>72</v>
      </c>
      <c r="B4" s="22" t="s">
        <v>73</v>
      </c>
      <c r="C4" s="22" t="s">
        <v>74</v>
      </c>
      <c r="D4" s="22" t="s">
        <v>75</v>
      </c>
      <c r="E4" s="22" t="s">
        <v>76</v>
      </c>
    </row>
    <row r="5" spans="1:5" ht="33.75" customHeight="1" x14ac:dyDescent="0.3">
      <c r="A5" s="28" t="s">
        <v>77</v>
      </c>
      <c r="B5" s="29" t="s">
        <v>78</v>
      </c>
      <c r="C5" s="29" t="s">
        <v>79</v>
      </c>
      <c r="D5" s="29" t="s">
        <v>80</v>
      </c>
      <c r="E5" s="29" t="s">
        <v>81</v>
      </c>
    </row>
    <row r="6" spans="1:5" ht="33.75" customHeight="1" x14ac:dyDescent="0.3">
      <c r="A6" s="27" t="s">
        <v>82</v>
      </c>
      <c r="B6" s="22" t="s">
        <v>83</v>
      </c>
      <c r="C6" s="22" t="s">
        <v>84</v>
      </c>
      <c r="D6" s="22" t="s">
        <v>85</v>
      </c>
      <c r="E6" s="22" t="s">
        <v>86</v>
      </c>
    </row>
    <row r="7" spans="1:5" ht="33.75" customHeight="1" x14ac:dyDescent="0.3">
      <c r="A7" s="28" t="s">
        <v>87</v>
      </c>
      <c r="B7" s="29" t="s">
        <v>88</v>
      </c>
      <c r="C7" s="29" t="s">
        <v>89</v>
      </c>
      <c r="D7" s="29" t="s">
        <v>90</v>
      </c>
      <c r="E7" s="29" t="s">
        <v>91</v>
      </c>
    </row>
    <row r="8" spans="1:5" ht="33.75" customHeight="1" x14ac:dyDescent="0.3">
      <c r="A8" s="27" t="s">
        <v>92</v>
      </c>
      <c r="B8" s="22" t="s">
        <v>93</v>
      </c>
      <c r="C8" s="22" t="s">
        <v>94</v>
      </c>
      <c r="D8" s="22" t="s">
        <v>95</v>
      </c>
      <c r="E8" s="22" t="s">
        <v>96</v>
      </c>
    </row>
    <row r="9" spans="1:5" ht="33.75" customHeight="1" x14ac:dyDescent="0.3">
      <c r="A9" s="28" t="s">
        <v>97</v>
      </c>
      <c r="B9" s="29" t="s">
        <v>98</v>
      </c>
      <c r="C9" s="29" t="s">
        <v>99</v>
      </c>
      <c r="D9" s="29" t="s">
        <v>100</v>
      </c>
      <c r="E9" s="29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Normal="100" workbookViewId="0">
      <selection activeCell="H14" sqref="H14"/>
    </sheetView>
  </sheetViews>
  <sheetFormatPr defaultColWidth="8.6640625" defaultRowHeight="14.4" x14ac:dyDescent="0.3"/>
  <cols>
    <col min="1" max="1" width="22" customWidth="1"/>
    <col min="2" max="2" width="40" customWidth="1"/>
    <col min="3" max="3" width="22" customWidth="1"/>
    <col min="4" max="6" width="26" customWidth="1"/>
  </cols>
  <sheetData>
    <row r="1" spans="1:6" ht="21" x14ac:dyDescent="0.4">
      <c r="A1" s="26" t="s">
        <v>102</v>
      </c>
    </row>
    <row r="3" spans="1:6" x14ac:dyDescent="0.3">
      <c r="A3" s="2" t="s">
        <v>103</v>
      </c>
      <c r="B3" s="2" t="s">
        <v>104</v>
      </c>
      <c r="C3" s="2" t="s">
        <v>105</v>
      </c>
      <c r="D3" s="2" t="s">
        <v>106</v>
      </c>
      <c r="E3" s="2" t="s">
        <v>107</v>
      </c>
      <c r="F3" s="2" t="s">
        <v>108</v>
      </c>
    </row>
    <row r="4" spans="1:6" ht="33.75" customHeight="1" x14ac:dyDescent="0.3">
      <c r="A4" s="27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</row>
    <row r="5" spans="1:6" ht="33.75" customHeight="1" x14ac:dyDescent="0.3">
      <c r="A5" s="30" t="s">
        <v>115</v>
      </c>
      <c r="B5" s="31" t="s">
        <v>116</v>
      </c>
      <c r="C5" s="31" t="s">
        <v>117</v>
      </c>
      <c r="D5" s="31" t="s">
        <v>118</v>
      </c>
      <c r="E5" s="31" t="s">
        <v>119</v>
      </c>
      <c r="F5" s="31" t="s">
        <v>120</v>
      </c>
    </row>
    <row r="6" spans="1:6" ht="33.75" customHeight="1" x14ac:dyDescent="0.3">
      <c r="A6" s="27" t="s">
        <v>121</v>
      </c>
      <c r="B6" s="22" t="s">
        <v>122</v>
      </c>
      <c r="C6" s="22" t="s">
        <v>123</v>
      </c>
      <c r="D6" s="22" t="s">
        <v>124</v>
      </c>
      <c r="E6" s="22" t="s">
        <v>125</v>
      </c>
      <c r="F6" s="22" t="s">
        <v>120</v>
      </c>
    </row>
    <row r="7" spans="1:6" ht="33.75" customHeight="1" x14ac:dyDescent="0.3">
      <c r="A7" s="30" t="s">
        <v>126</v>
      </c>
      <c r="B7" s="31" t="s">
        <v>127</v>
      </c>
      <c r="C7" s="31" t="s">
        <v>128</v>
      </c>
      <c r="D7" s="31" t="s">
        <v>129</v>
      </c>
      <c r="E7" s="31" t="s">
        <v>130</v>
      </c>
      <c r="F7" s="31" t="s">
        <v>131</v>
      </c>
    </row>
    <row r="8" spans="1:6" ht="33.75" customHeight="1" x14ac:dyDescent="0.3">
      <c r="A8" s="27" t="s">
        <v>132</v>
      </c>
      <c r="B8" s="22" t="s">
        <v>133</v>
      </c>
      <c r="C8" s="22" t="s">
        <v>134</v>
      </c>
      <c r="D8" s="22" t="s">
        <v>135</v>
      </c>
      <c r="E8" s="22" t="s">
        <v>136</v>
      </c>
      <c r="F8" s="22" t="s">
        <v>137</v>
      </c>
    </row>
    <row r="11" spans="1:6" ht="16.8" x14ac:dyDescent="0.3">
      <c r="A11" s="32" t="s">
        <v>138</v>
      </c>
    </row>
    <row r="12" spans="1:6" x14ac:dyDescent="0.3">
      <c r="A12" s="1" t="s">
        <v>139</v>
      </c>
      <c r="B12" s="1" t="s">
        <v>140</v>
      </c>
    </row>
    <row r="13" spans="1:6" x14ac:dyDescent="0.3">
      <c r="A13" s="16" t="s">
        <v>49</v>
      </c>
      <c r="B13" s="33">
        <v>40</v>
      </c>
    </row>
    <row r="14" spans="1:6" x14ac:dyDescent="0.3">
      <c r="A14" s="18" t="s">
        <v>50</v>
      </c>
      <c r="B14" s="33">
        <v>30</v>
      </c>
    </row>
    <row r="15" spans="1:6" x14ac:dyDescent="0.3">
      <c r="A15" s="19" t="s">
        <v>51</v>
      </c>
      <c r="B15" s="33">
        <v>20</v>
      </c>
    </row>
    <row r="16" spans="1:6" x14ac:dyDescent="0.3">
      <c r="A16" s="20" t="s">
        <v>52</v>
      </c>
      <c r="B16" s="33">
        <v>0</v>
      </c>
    </row>
    <row r="18" spans="1:1" x14ac:dyDescent="0.3">
      <c r="A18" s="5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Petunjuk</vt:lpstr>
      <vt:lpstr>STRIDE_DREAD_Template</vt:lpstr>
      <vt:lpstr>Ringkasan</vt:lpstr>
      <vt:lpstr>STRIDE_Guidelines</vt:lpstr>
      <vt:lpstr>DREAD_Guidelines</vt:lpstr>
      <vt:lpstr>STRIDE_DREAD_Template!Print_Titles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YHS</dc:creator>
  <dc:description/>
  <cp:lastModifiedBy>Isa Widianto</cp:lastModifiedBy>
  <cp:revision>1</cp:revision>
  <dcterms:created xsi:type="dcterms:W3CDTF">2026-10-06T08:35:38Z</dcterms:created>
  <dcterms:modified xsi:type="dcterms:W3CDTF">2026-10-11T05:31:42Z</dcterms:modified>
  <dc:language>en-US</dc:language>
</cp:coreProperties>
</file>